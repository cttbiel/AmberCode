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. Rosto" sheetId="1" state="visible" r:id="rId1"/>
    <sheet xmlns:r="http://schemas.openxmlformats.org/officeDocument/2006/relationships" name="LISTA DE MATERIAIS" sheetId="2" state="visible" r:id="rId2"/>
    <sheet xmlns:r="http://schemas.openxmlformats.org/officeDocument/2006/relationships" name="MAPA DE COTACOES (LEI 14.133)" sheetId="3" state="visible" r:id="rId3"/>
  </sheets>
  <definedNames>
    <definedName name="_xlnm.Print_Area" localSheetId="0">'F. Rosto'!$A$1:$N$31</definedName>
    <definedName name="_xlnm.Print_Titles" localSheetId="1">'LISTA DE MATERIAIS'!$1:$9</definedName>
    <definedName name="_xlnm.Print_Area" localSheetId="1">'LISTA DE MATERIAIS'!$A$1:$I$85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dd/mm/yy"/>
    <numFmt numFmtId="165" formatCode="0.0"/>
    <numFmt numFmtId="166" formatCode="R$ #,##0.00"/>
  </numFmts>
  <fonts count="2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0000"/>
      <sz val="8"/>
    </font>
    <font>
      <name val="Arial"/>
      <charset val="1"/>
      <family val="0"/>
      <b val="1"/>
      <color rgb="FF000000"/>
      <sz val="9"/>
    </font>
    <font>
      <name val="Arial"/>
      <charset val="1"/>
      <family val="0"/>
      <b val="1"/>
      <color rgb="FF000000"/>
      <sz val="7"/>
    </font>
    <font>
      <name val="Arial"/>
      <charset val="1"/>
      <family val="0"/>
      <color rgb="FF000000"/>
      <sz val="7"/>
    </font>
    <font>
      <name val="Arial"/>
      <charset val="1"/>
      <family val="0"/>
      <color rgb="FF000000"/>
      <sz val="11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000000"/>
      <sz val="14"/>
    </font>
    <font>
      <name val="Arial"/>
      <charset val="1"/>
      <family val="0"/>
      <color rgb="FF000000"/>
      <sz val="9"/>
    </font>
    <font>
      <name val="Calibri"/>
      <b val="1"/>
      <color rgb="00000000"/>
      <sz val="11"/>
    </font>
    <font>
      <name val="Calibri"/>
      <b val="1"/>
      <sz val="11"/>
    </font>
    <font>
      <name val="Calibri"/>
      <color rgb="000563C1"/>
      <sz val="10"/>
      <u val="single"/>
    </font>
    <font>
      <name val="Calibri"/>
      <b val="1"/>
      <color rgb="00FFFFFF"/>
      <sz val="11"/>
    </font>
    <font>
      <name val="Calibri"/>
      <i val="1"/>
      <sz val="9"/>
    </font>
    <font>
      <name val="Calibri"/>
      <b val="1"/>
      <color rgb="00FFFFFF"/>
      <sz val="13"/>
    </font>
    <font>
      <name val="Calibri"/>
      <b val="1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2F2F2"/>
        <bgColor rgb="FFFFF2CC"/>
      </patternFill>
    </fill>
    <fill>
      <patternFill patternType="solid">
        <fgColor rgb="FFBFBFBF"/>
        <bgColor rgb="FFCCCCFF"/>
      </patternFill>
    </fill>
    <fill>
      <patternFill patternType="solid">
        <fgColor rgb="FFFFF2CC"/>
        <bgColor rgb="FFF2F2F2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2F5597"/>
        <bgColor rgb="002F5597"/>
      </patternFill>
    </fill>
  </fills>
  <borders count="1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1">
    <xf numFmtId="0" fontId="0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general" vertical="bottom"/>
    </xf>
    <xf numFmtId="0" fontId="7" fillId="0" borderId="2" applyAlignment="1" pivotButton="0" quotePrefix="0" xfId="0">
      <alignment horizontal="left" vertical="center"/>
    </xf>
    <xf numFmtId="0" fontId="0" fillId="0" borderId="3" applyAlignment="1" pivotButton="0" quotePrefix="0" xfId="0">
      <alignment horizontal="general" vertical="bottom"/>
    </xf>
    <xf numFmtId="0" fontId="8" fillId="0" borderId="3" applyAlignment="1" pivotButton="0" quotePrefix="0" xfId="0">
      <alignment horizontal="left" vertical="center"/>
    </xf>
    <xf numFmtId="0" fontId="0" fillId="0" borderId="4" applyAlignment="1" pivotButton="0" quotePrefix="0" xfId="0">
      <alignment horizontal="general" vertical="bottom"/>
    </xf>
    <xf numFmtId="0" fontId="8" fillId="0" borderId="5" applyAlignment="1" pivotButton="0" quotePrefix="0" xfId="0">
      <alignment horizontal="left" vertical="center"/>
    </xf>
    <xf numFmtId="0" fontId="0" fillId="0" borderId="6" applyAlignment="1" pivotButton="0" quotePrefix="0" xfId="0">
      <alignment horizontal="general" vertical="bottom"/>
    </xf>
    <xf numFmtId="0" fontId="8" fillId="0" borderId="6" applyAlignment="1" pivotButton="0" quotePrefix="0" xfId="0">
      <alignment horizontal="left" vertical="center"/>
    </xf>
    <xf numFmtId="0" fontId="0" fillId="0" borderId="7" applyAlignment="1" pivotButton="0" quotePrefix="0" xfId="0">
      <alignment horizontal="general" vertical="bottom"/>
    </xf>
    <xf numFmtId="0" fontId="4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164" fontId="9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general" vertical="bottom"/>
    </xf>
    <xf numFmtId="0" fontId="4" fillId="4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1" fontId="10" fillId="0" borderId="1" applyAlignment="1" pivotButton="0" quotePrefix="0" xfId="0">
      <alignment horizontal="center" vertical="center" wrapText="1"/>
    </xf>
    <xf numFmtId="4" fontId="10" fillId="5" borderId="1" applyAlignment="1" pivotButton="0" quotePrefix="0" xfId="0">
      <alignment horizontal="center" vertical="center" wrapText="1"/>
    </xf>
    <xf numFmtId="4" fontId="10" fillId="0" borderId="1" applyAlignment="1" pivotButton="0" quotePrefix="0" xfId="0">
      <alignment horizontal="center" vertical="center" wrapText="1"/>
    </xf>
    <xf numFmtId="165" fontId="10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right" vertical="center" wrapText="1"/>
    </xf>
    <xf numFmtId="4" fontId="4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 wrapText="1"/>
    </xf>
    <xf numFmtId="2" fontId="4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1" applyAlignment="1" pivotButton="0" quotePrefix="0" xfId="0">
      <alignment horizontal="general" vertical="bottom"/>
    </xf>
    <xf numFmtId="0" fontId="0" fillId="0" borderId="3" pivotButton="0" quotePrefix="0" xfId="0"/>
    <xf numFmtId="0" fontId="0" fillId="0" borderId="4" pivotButton="0" quotePrefix="0" xfId="0"/>
    <xf numFmtId="0" fontId="4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6" fillId="0" borderId="1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" applyAlignment="1" pivotButton="0" quotePrefix="0" xfId="0">
      <alignment horizontal="general" vertical="bottom"/>
    </xf>
    <xf numFmtId="0" fontId="7" fillId="0" borderId="2" applyAlignment="1" pivotButton="0" quotePrefix="0" xfId="0">
      <alignment horizontal="left" vertical="center"/>
    </xf>
    <xf numFmtId="0" fontId="0" fillId="0" borderId="3" applyAlignment="1" pivotButton="0" quotePrefix="0" xfId="0">
      <alignment horizontal="general" vertical="bottom"/>
    </xf>
    <xf numFmtId="0" fontId="8" fillId="0" borderId="3" applyAlignment="1" pivotButton="0" quotePrefix="0" xfId="0">
      <alignment horizontal="left" vertical="center"/>
    </xf>
    <xf numFmtId="0" fontId="0" fillId="0" borderId="4" applyAlignment="1" pivotButton="0" quotePrefix="0" xfId="0">
      <alignment horizontal="general" vertical="bottom"/>
    </xf>
    <xf numFmtId="0" fontId="8" fillId="0" borderId="5" applyAlignment="1" pivotButton="0" quotePrefix="0" xfId="0">
      <alignment horizontal="left" vertical="center"/>
    </xf>
    <xf numFmtId="0" fontId="0" fillId="0" borderId="6" applyAlignment="1" pivotButton="0" quotePrefix="0" xfId="0">
      <alignment horizontal="general" vertical="bottom"/>
    </xf>
    <xf numFmtId="0" fontId="8" fillId="0" borderId="6" applyAlignment="1" pivotButton="0" quotePrefix="0" xfId="0">
      <alignment horizontal="left" vertical="center"/>
    </xf>
    <xf numFmtId="0" fontId="0" fillId="0" borderId="7" applyAlignment="1" pivotButton="0" quotePrefix="0" xfId="0">
      <alignment horizontal="general" vertical="bottom"/>
    </xf>
    <xf numFmtId="0" fontId="4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164" fontId="9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0" fontId="13" fillId="6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general" vertical="bottom"/>
    </xf>
    <xf numFmtId="0" fontId="4" fillId="4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1" fontId="10" fillId="0" borderId="1" applyAlignment="1" pivotButton="0" quotePrefix="0" xfId="0">
      <alignment horizontal="center" vertical="center" wrapText="1"/>
    </xf>
    <xf numFmtId="166" fontId="14" fillId="7" borderId="1" applyAlignment="1" pivotButton="0" quotePrefix="0" xfId="0">
      <alignment horizontal="right" vertical="center"/>
    </xf>
    <xf numFmtId="4" fontId="10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/>
    </xf>
    <xf numFmtId="165" fontId="10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right" vertical="center" wrapText="1"/>
    </xf>
    <xf numFmtId="4" fontId="4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 wrapText="1"/>
    </xf>
    <xf numFmtId="2" fontId="4" fillId="5" borderId="1" applyAlignment="1" pivotButton="0" quotePrefix="0" xfId="0">
      <alignment horizontal="center" vertical="center" wrapText="1"/>
    </xf>
    <xf numFmtId="0" fontId="16" fillId="8" borderId="0" applyAlignment="1" pivotButton="0" quotePrefix="0" xfId="0">
      <alignment horizontal="center" vertical="center"/>
    </xf>
    <xf numFmtId="0" fontId="14" fillId="7" borderId="0" pivotButton="0" quotePrefix="0" xfId="0"/>
    <xf numFmtId="166" fontId="14" fillId="7" borderId="0" pivotButton="0" quotePrefix="0" xfId="0"/>
    <xf numFmtId="0" fontId="17" fillId="0" borderId="0" pivotButton="0" quotePrefix="0" xfId="0"/>
    <xf numFmtId="0" fontId="14" fillId="9" borderId="0" pivotButton="0" quotePrefix="0" xfId="0"/>
    <xf numFmtId="166" fontId="14" fillId="9" borderId="0" pivotButton="0" quotePrefix="0" xfId="0"/>
    <xf numFmtId="0" fontId="14" fillId="0" borderId="0" pivotButton="0" quotePrefix="0" xfId="0"/>
    <xf numFmtId="166" fontId="14" fillId="0" borderId="0" pivotButton="0" quotePrefix="0" xfId="0"/>
    <xf numFmtId="0" fontId="18" fillId="8" borderId="0" applyAlignment="1" pivotButton="0" quotePrefix="0" xfId="0">
      <alignment horizontal="center" vertical="center" wrapText="1"/>
    </xf>
    <xf numFmtId="0" fontId="19" fillId="10" borderId="0" applyAlignment="1" pivotButton="0" quotePrefix="0" xfId="0">
      <alignment horizontal="center" vertical="center" wrapText="1"/>
    </xf>
    <xf numFmtId="166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0</row>
      <rowOff>0</rowOff>
    </from>
    <to>
      <col>5</col>
      <colOff>313200</colOff>
      <row>1</row>
      <rowOff>485640</rowOff>
    </to>
    <pic>
      <nvPicPr>
        <cNvPr id="0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24360" y="0"/>
          <a:ext cx="1666440" cy="9903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915840</colOff>
      <row>2</row>
      <rowOff>228240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409400" cy="83772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N3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.6" customWidth="1" style="38" min="1" max="1"/>
    <col width="4.7" customWidth="1" style="38" min="2" max="2"/>
    <col width="4.1" customWidth="1" style="38" min="3" max="3"/>
    <col width="5.4" customWidth="1" style="38" min="4" max="4"/>
    <col width="5" customWidth="1" style="38" min="5" max="5"/>
    <col width="9.4" customWidth="1" style="38" min="6" max="6"/>
    <col width="7.4" customWidth="1" style="38" min="7" max="7"/>
    <col width="8.4" customWidth="1" style="38" min="8" max="8"/>
    <col width="0.4" customWidth="1" style="38" min="9" max="9"/>
    <col width="6.9" customWidth="1" style="38" min="10" max="11"/>
    <col width="7.1" customWidth="1" style="38" min="12" max="12"/>
    <col width="7.3" customWidth="1" style="38" min="13" max="13"/>
    <col width="10.1" customWidth="1" style="38" min="14" max="14"/>
  </cols>
  <sheetData>
    <row r="1" ht="39.75" customHeight="1" s="39">
      <c r="A1" s="40" t="n"/>
      <c r="B1" s="41" t="n"/>
      <c r="C1" s="41" t="n"/>
      <c r="D1" s="41" t="n"/>
      <c r="E1" s="41" t="n"/>
      <c r="F1" s="41" t="n"/>
      <c r="G1" s="41" t="n"/>
      <c r="H1" s="41" t="n"/>
      <c r="I1" s="42" t="n"/>
      <c r="J1" s="43" t="inlineStr">
        <is>
          <t>BASE COMUNITÁRIA PMMG</t>
        </is>
      </c>
      <c r="K1" s="41" t="n"/>
      <c r="L1" s="41" t="n"/>
      <c r="M1" s="41" t="n"/>
      <c r="N1" s="42" t="n"/>
    </row>
    <row r="2" ht="39.75" customHeight="1" s="39">
      <c r="A2" s="44" t="n"/>
      <c r="B2" s="45" t="n"/>
      <c r="C2" s="45" t="n"/>
      <c r="D2" s="45" t="n"/>
      <c r="E2" s="45" t="n"/>
      <c r="F2" s="45" t="n"/>
      <c r="G2" s="45" t="n"/>
      <c r="H2" s="45" t="n"/>
      <c r="I2" s="46" t="n"/>
      <c r="J2" s="44" t="n"/>
      <c r="K2" s="45" t="n"/>
      <c r="L2" s="45" t="n"/>
      <c r="M2" s="45" t="n"/>
      <c r="N2" s="46" t="n"/>
    </row>
    <row r="3" ht="15" customHeight="1" s="39">
      <c r="A3" s="47" t="inlineStr">
        <is>
          <t>ESTAÇÃO DE TRABALHO FOTOVOLTAICA OFF-GRID
FURGÃO FIAT DUCATO MAXICARGO L4H2
ELÉTRICA / ENERGIA SOLAR
LISTA DE MATERIAIS</t>
        </is>
      </c>
      <c r="B3" s="41" t="n"/>
      <c r="C3" s="41" t="n"/>
      <c r="D3" s="41" t="n"/>
      <c r="E3" s="41" t="n"/>
      <c r="F3" s="41" t="n"/>
      <c r="G3" s="41" t="n"/>
      <c r="H3" s="41" t="n"/>
      <c r="I3" s="42" t="n"/>
      <c r="J3" s="48" t="inlineStr">
        <is>
          <t>Nº DOCUMENTO</t>
        </is>
      </c>
      <c r="K3" s="49" t="n"/>
      <c r="L3" s="49" t="n"/>
      <c r="M3" s="50" t="n"/>
      <c r="N3" s="51" t="inlineStr">
        <is>
          <t>PÁGINA</t>
        </is>
      </c>
    </row>
    <row r="4" ht="15" customHeight="1" s="39">
      <c r="A4" s="52" t="n"/>
      <c r="I4" s="53" t="n"/>
      <c r="J4" s="54" t="inlineStr">
        <is>
          <t>BCPMMG-ELE-FV-LM-001</t>
        </is>
      </c>
      <c r="K4" s="41" t="n"/>
      <c r="L4" s="41" t="n"/>
      <c r="M4" s="42" t="n"/>
      <c r="N4" s="54" t="inlineStr">
        <is>
          <t>1</t>
        </is>
      </c>
    </row>
    <row r="5" ht="15" customHeight="1" s="39">
      <c r="A5" s="52" t="n"/>
      <c r="I5" s="53" t="n"/>
      <c r="J5" s="44" t="n"/>
      <c r="K5" s="45" t="n"/>
      <c r="L5" s="45" t="n"/>
      <c r="M5" s="46" t="n"/>
      <c r="N5" s="55" t="n"/>
    </row>
    <row r="6" ht="15" customHeight="1" s="39">
      <c r="A6" s="52" t="n"/>
      <c r="I6" s="53" t="n"/>
      <c r="J6" s="48" t="inlineStr">
        <is>
          <t>ELABORADO POR</t>
        </is>
      </c>
      <c r="K6" s="49" t="n"/>
      <c r="L6" s="49" t="n"/>
      <c r="M6" s="50" t="n"/>
      <c r="N6" s="51" t="inlineStr">
        <is>
          <t>REV.</t>
        </is>
      </c>
    </row>
    <row r="7" ht="15" customHeight="1" s="39">
      <c r="A7" s="52" t="n"/>
      <c r="I7" s="53" t="n"/>
      <c r="J7" s="54" t="inlineStr">
        <is>
          <t>AmperCode - Gabriel Carvalho e Giovanna Silva</t>
        </is>
      </c>
      <c r="K7" s="41" t="n"/>
      <c r="L7" s="41" t="n"/>
      <c r="M7" s="42" t="n"/>
      <c r="N7" s="54" t="n">
        <v>1</v>
      </c>
    </row>
    <row r="8" ht="15" customHeight="1" s="39">
      <c r="A8" s="44" t="n"/>
      <c r="B8" s="45" t="n"/>
      <c r="C8" s="45" t="n"/>
      <c r="D8" s="45" t="n"/>
      <c r="E8" s="45" t="n"/>
      <c r="F8" s="45" t="n"/>
      <c r="G8" s="45" t="n"/>
      <c r="H8" s="45" t="n"/>
      <c r="I8" s="46" t="n"/>
      <c r="J8" s="44" t="n"/>
      <c r="K8" s="45" t="n"/>
      <c r="L8" s="45" t="n"/>
      <c r="M8" s="46" t="n"/>
      <c r="N8" s="55" t="n"/>
    </row>
    <row r="9" ht="15" customHeight="1" s="39">
      <c r="A9" s="56" t="n"/>
      <c r="B9" s="49" t="n"/>
      <c r="C9" s="49" t="n"/>
      <c r="D9" s="49" t="n"/>
      <c r="E9" s="49" t="n"/>
      <c r="F9" s="49" t="n"/>
      <c r="G9" s="49" t="n"/>
      <c r="H9" s="49" t="n"/>
      <c r="I9" s="49" t="n"/>
      <c r="J9" s="49" t="n"/>
      <c r="K9" s="49" t="n"/>
      <c r="L9" s="49" t="n"/>
      <c r="M9" s="49" t="n"/>
      <c r="N9" s="50" t="n"/>
    </row>
    <row r="10" ht="15" customHeight="1" s="39">
      <c r="A10" s="43" t="inlineStr">
        <is>
          <t>REVISÕES</t>
        </is>
      </c>
      <c r="B10" s="49" t="n"/>
      <c r="C10" s="49" t="n"/>
      <c r="D10" s="49" t="n"/>
      <c r="E10" s="49" t="n"/>
      <c r="F10" s="49" t="n"/>
      <c r="G10" s="49" t="n"/>
      <c r="H10" s="49" t="n"/>
      <c r="I10" s="49" t="n"/>
      <c r="J10" s="49" t="n"/>
      <c r="K10" s="49" t="n"/>
      <c r="L10" s="49" t="n"/>
      <c r="M10" s="49" t="n"/>
      <c r="N10" s="50" t="n"/>
    </row>
    <row r="11" ht="12.75" customHeight="1" s="39">
      <c r="A11" s="57" t="inlineStr">
        <is>
          <t>TE: TIPO</t>
        </is>
      </c>
      <c r="B11" s="58" t="n"/>
      <c r="C11" s="59" t="inlineStr">
        <is>
          <t>A - PRELIMINAR</t>
        </is>
      </c>
      <c r="D11" s="58" t="n"/>
      <c r="E11" s="58" t="n"/>
      <c r="F11" s="59" t="inlineStr">
        <is>
          <t>C - PARA CONHECIMENTO</t>
        </is>
      </c>
      <c r="G11" s="58" t="n"/>
      <c r="H11" s="58" t="n"/>
      <c r="I11" s="59" t="inlineStr">
        <is>
          <t>E - PARA CONSTRUÇÃO</t>
        </is>
      </c>
      <c r="J11" s="58" t="n"/>
      <c r="K11" s="58" t="n"/>
      <c r="L11" s="59" t="inlineStr">
        <is>
          <t>G - CONFORME CONSTRUÍDO</t>
        </is>
      </c>
      <c r="M11" s="58" t="n"/>
      <c r="N11" s="60" t="n"/>
    </row>
    <row r="12" ht="12.75" customHeight="1" s="39">
      <c r="A12" s="61" t="inlineStr">
        <is>
          <t>EMISSÃO</t>
        </is>
      </c>
      <c r="B12" s="62" t="n"/>
      <c r="C12" s="63" t="inlineStr">
        <is>
          <t>B - PARA APROVAÇÃO</t>
        </is>
      </c>
      <c r="D12" s="62" t="n"/>
      <c r="E12" s="62" t="n"/>
      <c r="F12" s="63" t="inlineStr">
        <is>
          <t>D - PARA COTAÇÃO</t>
        </is>
      </c>
      <c r="G12" s="62" t="n"/>
      <c r="H12" s="62" t="n"/>
      <c r="I12" s="63" t="inlineStr">
        <is>
          <t>F - CONFORME COMPRADO</t>
        </is>
      </c>
      <c r="J12" s="62" t="n"/>
      <c r="K12" s="62" t="n"/>
      <c r="L12" s="63" t="inlineStr">
        <is>
          <t>H - CANCELADO</t>
        </is>
      </c>
      <c r="M12" s="62" t="n"/>
      <c r="N12" s="64" t="n"/>
    </row>
    <row r="13" ht="15" customHeight="1" s="39">
      <c r="A13" s="65" t="inlineStr">
        <is>
          <t>Rev.</t>
        </is>
      </c>
      <c r="B13" s="65" t="inlineStr">
        <is>
          <t>TE</t>
        </is>
      </c>
      <c r="C13" s="65" t="inlineStr">
        <is>
          <t>Descrição</t>
        </is>
      </c>
      <c r="D13" s="49" t="n"/>
      <c r="E13" s="49" t="n"/>
      <c r="F13" s="49" t="n"/>
      <c r="G13" s="49" t="n"/>
      <c r="H13" s="49" t="n"/>
      <c r="I13" s="50" t="n"/>
      <c r="J13" s="65" t="inlineStr">
        <is>
          <t>Por</t>
        </is>
      </c>
      <c r="K13" s="65" t="inlineStr">
        <is>
          <t>Ver.</t>
        </is>
      </c>
      <c r="L13" s="65" t="inlineStr">
        <is>
          <t>Apr.</t>
        </is>
      </c>
      <c r="M13" s="65" t="inlineStr">
        <is>
          <t>Aut.</t>
        </is>
      </c>
      <c r="N13" s="65" t="inlineStr">
        <is>
          <t>Data</t>
        </is>
      </c>
    </row>
    <row r="14" ht="24" customHeight="1" s="39">
      <c r="A14" s="66" t="n">
        <v>0</v>
      </c>
      <c r="B14" s="66" t="inlineStr">
        <is>
          <t>D</t>
        </is>
      </c>
      <c r="C14" s="67" t="inlineStr">
        <is>
          <t>EMISSÃO INICIAL - PARA COTAÇÃO (pré-dimensionamento)</t>
        </is>
      </c>
      <c r="D14" s="49" t="n"/>
      <c r="E14" s="49" t="n"/>
      <c r="F14" s="49" t="n"/>
      <c r="G14" s="49" t="n"/>
      <c r="H14" s="49" t="n"/>
      <c r="I14" s="50" t="n"/>
      <c r="J14" s="66" t="inlineStr">
        <is>
          <t>GS</t>
        </is>
      </c>
      <c r="K14" s="56" t="n"/>
      <c r="L14" s="56" t="n"/>
      <c r="M14" s="56" t="n"/>
      <c r="N14" s="68" t="n">
        <v>46319</v>
      </c>
    </row>
    <row r="15" ht="24" customHeight="1" s="39">
      <c r="A15" s="56" t="n">
        <v>1</v>
      </c>
      <c r="B15" s="56" t="inlineStr">
        <is>
          <t>D</t>
        </is>
      </c>
      <c r="C15" s="56" t="inlineStr">
        <is>
          <t>PRECIFICACAO CONSOLIDADA E MAPA DE COTACOES (LEI 14.133/2021) - MERCADO MG</t>
        </is>
      </c>
      <c r="D15" s="49" t="n"/>
      <c r="E15" s="49" t="n"/>
      <c r="F15" s="49" t="n"/>
      <c r="G15" s="49" t="n"/>
      <c r="H15" s="49" t="n"/>
      <c r="I15" s="50" t="n"/>
      <c r="J15" s="56" t="inlineStr">
        <is>
          <t>GC/GS</t>
        </is>
      </c>
      <c r="K15" s="56" t="n"/>
      <c r="L15" s="56" t="n"/>
      <c r="M15" s="56" t="n"/>
      <c r="N15" s="56" t="inlineStr">
        <is>
          <t>2026-10-26</t>
        </is>
      </c>
    </row>
    <row r="16" ht="24" customHeight="1" s="39">
      <c r="A16" s="56" t="n"/>
      <c r="B16" s="56" t="n"/>
      <c r="C16" s="56" t="n"/>
      <c r="D16" s="49" t="n"/>
      <c r="E16" s="49" t="n"/>
      <c r="F16" s="49" t="n"/>
      <c r="G16" s="49" t="n"/>
      <c r="H16" s="49" t="n"/>
      <c r="I16" s="50" t="n"/>
      <c r="J16" s="56" t="n"/>
      <c r="K16" s="56" t="n"/>
      <c r="L16" s="56" t="n"/>
      <c r="M16" s="56" t="n"/>
      <c r="N16" s="56" t="n"/>
    </row>
    <row r="17" ht="24" customHeight="1" s="39">
      <c r="A17" s="56" t="n"/>
      <c r="B17" s="56" t="n"/>
      <c r="C17" s="56" t="n"/>
      <c r="D17" s="49" t="n"/>
      <c r="E17" s="49" t="n"/>
      <c r="F17" s="49" t="n"/>
      <c r="G17" s="49" t="n"/>
      <c r="H17" s="49" t="n"/>
      <c r="I17" s="50" t="n"/>
      <c r="J17" s="56" t="n"/>
      <c r="K17" s="56" t="n"/>
      <c r="L17" s="56" t="n"/>
      <c r="M17" s="56" t="n"/>
      <c r="N17" s="56" t="n"/>
    </row>
    <row r="18" ht="24" customHeight="1" s="39">
      <c r="A18" s="56" t="n"/>
      <c r="B18" s="56" t="n"/>
      <c r="C18" s="56" t="n"/>
      <c r="D18" s="49" t="n"/>
      <c r="E18" s="49" t="n"/>
      <c r="F18" s="49" t="n"/>
      <c r="G18" s="49" t="n"/>
      <c r="H18" s="49" t="n"/>
      <c r="I18" s="50" t="n"/>
      <c r="J18" s="56" t="n"/>
      <c r="K18" s="56" t="n"/>
      <c r="L18" s="56" t="n"/>
      <c r="M18" s="56" t="n"/>
      <c r="N18" s="56" t="n"/>
    </row>
    <row r="19" ht="24" customHeight="1" s="39">
      <c r="A19" s="56" t="n"/>
      <c r="B19" s="56" t="n"/>
      <c r="C19" s="56" t="n"/>
      <c r="D19" s="49" t="n"/>
      <c r="E19" s="49" t="n"/>
      <c r="F19" s="49" t="n"/>
      <c r="G19" s="49" t="n"/>
      <c r="H19" s="49" t="n"/>
      <c r="I19" s="50" t="n"/>
      <c r="J19" s="56" t="n"/>
      <c r="K19" s="56" t="n"/>
      <c r="L19" s="56" t="n"/>
      <c r="M19" s="56" t="n"/>
      <c r="N19" s="56" t="n"/>
    </row>
    <row r="20" ht="24" customHeight="1" s="39">
      <c r="A20" s="56" t="n"/>
      <c r="B20" s="56" t="n"/>
      <c r="C20" s="56" t="n"/>
      <c r="D20" s="49" t="n"/>
      <c r="E20" s="49" t="n"/>
      <c r="F20" s="49" t="n"/>
      <c r="G20" s="49" t="n"/>
      <c r="H20" s="49" t="n"/>
      <c r="I20" s="50" t="n"/>
      <c r="J20" s="56" t="n"/>
      <c r="K20" s="56" t="n"/>
      <c r="L20" s="56" t="n"/>
      <c r="M20" s="56" t="n"/>
      <c r="N20" s="56" t="n"/>
    </row>
    <row r="21" ht="24" customHeight="1" s="39">
      <c r="A21" s="56" t="n"/>
      <c r="B21" s="56" t="n"/>
      <c r="C21" s="56" t="n"/>
      <c r="D21" s="49" t="n"/>
      <c r="E21" s="49" t="n"/>
      <c r="F21" s="49" t="n"/>
      <c r="G21" s="49" t="n"/>
      <c r="H21" s="49" t="n"/>
      <c r="I21" s="50" t="n"/>
      <c r="J21" s="56" t="n"/>
      <c r="K21" s="56" t="n"/>
      <c r="L21" s="56" t="n"/>
      <c r="M21" s="56" t="n"/>
      <c r="N21" s="56" t="n"/>
    </row>
    <row r="22" ht="24" customHeight="1" s="39">
      <c r="A22" s="56" t="n"/>
      <c r="B22" s="56" t="n"/>
      <c r="C22" s="56" t="n"/>
      <c r="D22" s="49" t="n"/>
      <c r="E22" s="49" t="n"/>
      <c r="F22" s="49" t="n"/>
      <c r="G22" s="49" t="n"/>
      <c r="H22" s="49" t="n"/>
      <c r="I22" s="50" t="n"/>
      <c r="J22" s="56" t="n"/>
      <c r="K22" s="56" t="n"/>
      <c r="L22" s="56" t="n"/>
      <c r="M22" s="56" t="n"/>
      <c r="N22" s="56" t="n"/>
    </row>
    <row r="23" ht="24" customHeight="1" s="39">
      <c r="A23" s="56" t="n"/>
      <c r="B23" s="56" t="n"/>
      <c r="C23" s="56" t="n"/>
      <c r="D23" s="49" t="n"/>
      <c r="E23" s="49" t="n"/>
      <c r="F23" s="49" t="n"/>
      <c r="G23" s="49" t="n"/>
      <c r="H23" s="49" t="n"/>
      <c r="I23" s="50" t="n"/>
      <c r="J23" s="56" t="n"/>
      <c r="K23" s="56" t="n"/>
      <c r="L23" s="56" t="n"/>
      <c r="M23" s="56" t="n"/>
      <c r="N23" s="56" t="n"/>
    </row>
    <row r="24" ht="24" customHeight="1" s="39">
      <c r="A24" s="56" t="n"/>
      <c r="B24" s="56" t="n"/>
      <c r="C24" s="56" t="n"/>
      <c r="D24" s="49" t="n"/>
      <c r="E24" s="49" t="n"/>
      <c r="F24" s="49" t="n"/>
      <c r="G24" s="49" t="n"/>
      <c r="H24" s="49" t="n"/>
      <c r="I24" s="50" t="n"/>
      <c r="J24" s="56" t="n"/>
      <c r="K24" s="56" t="n"/>
      <c r="L24" s="56" t="n"/>
      <c r="M24" s="56" t="n"/>
      <c r="N24" s="56" t="n"/>
    </row>
    <row r="25" ht="24" customHeight="1" s="39">
      <c r="A25" s="56" t="n"/>
      <c r="B25" s="56" t="n"/>
      <c r="C25" s="56" t="n"/>
      <c r="D25" s="49" t="n"/>
      <c r="E25" s="49" t="n"/>
      <c r="F25" s="49" t="n"/>
      <c r="G25" s="49" t="n"/>
      <c r="H25" s="49" t="n"/>
      <c r="I25" s="50" t="n"/>
      <c r="J25" s="56" t="n"/>
      <c r="K25" s="56" t="n"/>
      <c r="L25" s="56" t="n"/>
      <c r="M25" s="56" t="n"/>
      <c r="N25" s="56" t="n"/>
    </row>
    <row r="26" ht="24" customHeight="1" s="39">
      <c r="A26" s="56" t="n"/>
      <c r="B26" s="56" t="n"/>
      <c r="C26" s="56" t="n"/>
      <c r="D26" s="49" t="n"/>
      <c r="E26" s="49" t="n"/>
      <c r="F26" s="49" t="n"/>
      <c r="G26" s="49" t="n"/>
      <c r="H26" s="49" t="n"/>
      <c r="I26" s="50" t="n"/>
      <c r="J26" s="56" t="n"/>
      <c r="K26" s="56" t="n"/>
      <c r="L26" s="56" t="n"/>
      <c r="M26" s="56" t="n"/>
      <c r="N26" s="56" t="n"/>
    </row>
    <row r="27" ht="24" customHeight="1" s="39">
      <c r="A27" s="56" t="n"/>
      <c r="B27" s="56" t="n"/>
      <c r="C27" s="56" t="n"/>
      <c r="D27" s="49" t="n"/>
      <c r="E27" s="49" t="n"/>
      <c r="F27" s="49" t="n"/>
      <c r="G27" s="49" t="n"/>
      <c r="H27" s="49" t="n"/>
      <c r="I27" s="50" t="n"/>
      <c r="J27" s="56" t="n"/>
      <c r="K27" s="56" t="n"/>
      <c r="L27" s="56" t="n"/>
      <c r="M27" s="56" t="n"/>
      <c r="N27" s="56" t="n"/>
    </row>
    <row r="28" ht="24" customHeight="1" s="39">
      <c r="A28" s="56" t="n"/>
      <c r="B28" s="56" t="n"/>
      <c r="C28" s="56" t="n"/>
      <c r="D28" s="49" t="n"/>
      <c r="E28" s="49" t="n"/>
      <c r="F28" s="49" t="n"/>
      <c r="G28" s="49" t="n"/>
      <c r="H28" s="49" t="n"/>
      <c r="I28" s="50" t="n"/>
      <c r="J28" s="56" t="n"/>
      <c r="K28" s="56" t="n"/>
      <c r="L28" s="56" t="n"/>
      <c r="M28" s="56" t="n"/>
      <c r="N28" s="56" t="n"/>
    </row>
    <row r="29" ht="24" customHeight="1" s="39">
      <c r="A29" s="56" t="n"/>
      <c r="B29" s="56" t="n"/>
      <c r="C29" s="56" t="n"/>
      <c r="D29" s="49" t="n"/>
      <c r="E29" s="49" t="n"/>
      <c r="F29" s="49" t="n"/>
      <c r="G29" s="49" t="n"/>
      <c r="H29" s="49" t="n"/>
      <c r="I29" s="50" t="n"/>
      <c r="J29" s="56" t="n"/>
      <c r="K29" s="56" t="n"/>
      <c r="L29" s="56" t="n"/>
      <c r="M29" s="56" t="n"/>
      <c r="N29" s="56" t="n"/>
    </row>
    <row r="30" ht="24" customHeight="1" s="39">
      <c r="A30" s="56" t="n"/>
      <c r="B30" s="56" t="n"/>
      <c r="C30" s="56" t="n"/>
      <c r="D30" s="49" t="n"/>
      <c r="E30" s="49" t="n"/>
      <c r="F30" s="49" t="n"/>
      <c r="G30" s="49" t="n"/>
      <c r="H30" s="49" t="n"/>
      <c r="I30" s="50" t="n"/>
      <c r="J30" s="56" t="n"/>
      <c r="K30" s="56" t="n"/>
      <c r="L30" s="56" t="n"/>
      <c r="M30" s="56" t="n"/>
      <c r="N30" s="56" t="n"/>
    </row>
    <row r="31" ht="24" customHeight="1" s="39">
      <c r="A31" s="56" t="n"/>
      <c r="B31" s="56" t="n"/>
      <c r="C31" s="56" t="n"/>
      <c r="D31" s="49" t="n"/>
      <c r="E31" s="49" t="n"/>
      <c r="F31" s="49" t="n"/>
      <c r="G31" s="49" t="n"/>
      <c r="H31" s="49" t="n"/>
      <c r="I31" s="50" t="n"/>
      <c r="J31" s="56" t="n"/>
      <c r="K31" s="56" t="n"/>
      <c r="L31" s="56" t="n"/>
      <c r="M31" s="56" t="n"/>
      <c r="N31" s="56" t="n"/>
    </row>
  </sheetData>
  <mergeCells count="30">
    <mergeCell ref="A9:N9"/>
    <mergeCell ref="C23:I23"/>
    <mergeCell ref="C17:I17"/>
    <mergeCell ref="J3:M3"/>
    <mergeCell ref="C19:I19"/>
    <mergeCell ref="C28:I28"/>
    <mergeCell ref="C13:I13"/>
    <mergeCell ref="C18:I18"/>
    <mergeCell ref="J4:M5"/>
    <mergeCell ref="A1:I2"/>
    <mergeCell ref="C24:I24"/>
    <mergeCell ref="C30:I30"/>
    <mergeCell ref="C15:I15"/>
    <mergeCell ref="J7:M8"/>
    <mergeCell ref="C14:I14"/>
    <mergeCell ref="C26:I26"/>
    <mergeCell ref="C20:I20"/>
    <mergeCell ref="J1:N2"/>
    <mergeCell ref="J6:M6"/>
    <mergeCell ref="C29:I29"/>
    <mergeCell ref="C16:I16"/>
    <mergeCell ref="C25:I25"/>
    <mergeCell ref="C31:I31"/>
    <mergeCell ref="C22:I22"/>
    <mergeCell ref="C21:I21"/>
    <mergeCell ref="N4:N5"/>
    <mergeCell ref="A3:I8"/>
    <mergeCell ref="A10:N10"/>
    <mergeCell ref="N7:N8"/>
    <mergeCell ref="C27:I2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J9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38" min="1" max="1"/>
    <col width="14" customWidth="1" style="38" min="2" max="2"/>
    <col width="36" customWidth="1" style="38" min="3" max="4"/>
    <col width="7" customWidth="1" style="38" min="5" max="5"/>
    <col width="9" customWidth="1" style="38" min="6" max="6"/>
    <col width="18" customWidth="1" style="38" min="7" max="8"/>
    <col width="18" customWidth="1" style="39" min="8" max="8"/>
    <col width="45" customWidth="1" style="38" min="9" max="9"/>
    <col width="45" customWidth="1" style="39" min="10" max="10"/>
  </cols>
  <sheetData>
    <row r="1" ht="24" customHeight="1" s="39">
      <c r="A1" s="40" t="n"/>
      <c r="B1" s="42" t="n"/>
      <c r="C1" s="69" t="inlineStr">
        <is>
          <t>LISTA DE MATERIAIS</t>
        </is>
      </c>
      <c r="D1" s="41" t="n"/>
      <c r="E1" s="41" t="n"/>
      <c r="F1" s="42" t="n"/>
      <c r="G1" s="43" t="inlineStr">
        <is>
          <t>BASE COMUNITÁRIA PMMG</t>
        </is>
      </c>
      <c r="H1" s="41" t="n"/>
      <c r="I1" s="42" t="n"/>
    </row>
    <row r="2" ht="24" customHeight="1" s="39">
      <c r="A2" s="52" t="n"/>
      <c r="B2" s="53" t="n"/>
      <c r="C2" s="52" t="n"/>
      <c r="F2" s="53" t="n"/>
      <c r="G2" s="52" t="n"/>
      <c r="I2" s="53" t="n"/>
    </row>
    <row r="3" ht="24" customHeight="1" s="39">
      <c r="A3" s="44" t="n"/>
      <c r="B3" s="46" t="n"/>
      <c r="C3" s="44" t="n"/>
      <c r="D3" s="45" t="n"/>
      <c r="E3" s="45" t="n"/>
      <c r="F3" s="46" t="n"/>
      <c r="G3" s="44" t="n"/>
      <c r="H3" s="45" t="n"/>
      <c r="I3" s="46" t="n"/>
    </row>
    <row r="4" ht="15.75" customHeight="1" s="39">
      <c r="A4" s="70">
        <f>'F. Rosto'!A3</f>
        <v/>
      </c>
      <c r="B4" s="41" t="n"/>
      <c r="C4" s="41" t="n"/>
      <c r="D4" s="41" t="n"/>
      <c r="E4" s="41" t="n"/>
      <c r="F4" s="42" t="n"/>
      <c r="G4" s="48" t="inlineStr">
        <is>
          <t>Nº DOCUMENTO</t>
        </is>
      </c>
      <c r="H4" s="50" t="n"/>
      <c r="I4" s="48" t="inlineStr">
        <is>
          <t>FOLHA</t>
        </is>
      </c>
    </row>
    <row r="5" ht="15.75" customHeight="1" s="39">
      <c r="A5" s="52" t="n"/>
      <c r="F5" s="53" t="n"/>
      <c r="G5" s="54">
        <f>'F. Rosto'!J4</f>
        <v/>
      </c>
      <c r="H5" s="50" t="n"/>
      <c r="I5" s="54" t="inlineStr">
        <is>
          <t>1</t>
        </is>
      </c>
    </row>
    <row r="6" ht="15.75" customHeight="1" s="39">
      <c r="A6" s="52" t="n"/>
      <c r="F6" s="53" t="n"/>
      <c r="G6" s="48" t="inlineStr">
        <is>
          <t>ELABORADO POR</t>
        </is>
      </c>
      <c r="H6" s="50" t="n"/>
      <c r="I6" s="48" t="inlineStr">
        <is>
          <t>REV.</t>
        </is>
      </c>
    </row>
    <row r="7" ht="15.75" customHeight="1" s="39">
      <c r="A7" s="44" t="n"/>
      <c r="B7" s="45" t="n"/>
      <c r="C7" s="45" t="n"/>
      <c r="D7" s="45" t="n"/>
      <c r="E7" s="45" t="n"/>
      <c r="F7" s="46" t="n"/>
      <c r="G7" s="54">
        <f>'F. Rosto'!J7</f>
        <v/>
      </c>
      <c r="H7" s="50" t="n"/>
      <c r="I7" s="54">
        <f>'F. Rosto'!N7</f>
        <v/>
      </c>
    </row>
    <row r="8" ht="3.75" customHeight="1" s="39">
      <c r="A8" s="56" t="n"/>
      <c r="B8" s="49" t="n"/>
      <c r="C8" s="49" t="n"/>
      <c r="D8" s="49" t="n"/>
      <c r="E8" s="49" t="n"/>
      <c r="F8" s="49" t="n"/>
      <c r="G8" s="49" t="n"/>
      <c r="H8" s="49" t="n"/>
      <c r="I8" s="50" t="n"/>
    </row>
    <row r="9" ht="30" customHeight="1" s="39">
      <c r="A9" s="65" t="inlineStr">
        <is>
          <t>ITEM</t>
        </is>
      </c>
      <c r="B9" s="65" t="inlineStr">
        <is>
          <t>TAG</t>
        </is>
      </c>
      <c r="C9" s="65" t="inlineStr">
        <is>
          <t>DESCRIÇÃO</t>
        </is>
      </c>
      <c r="D9" s="50" t="n"/>
      <c r="E9" s="65" t="inlineStr">
        <is>
          <t>UNID</t>
        </is>
      </c>
      <c r="F9" s="65" t="inlineStr">
        <is>
          <t>QTD</t>
        </is>
      </c>
      <c r="G9" s="65" t="inlineStr">
        <is>
          <t>VALOR UNITÁRIO (R$)</t>
        </is>
      </c>
      <c r="H9" s="65" t="inlineStr">
        <is>
          <t>VALOR TOTAL (R$)</t>
        </is>
      </c>
      <c r="I9" s="65" t="inlineStr">
        <is>
          <t>OBSERVAÇÃO</t>
        </is>
      </c>
      <c r="J9" s="71" t="inlineStr">
        <is>
          <t>LINK / FONTE DE COTACAO</t>
        </is>
      </c>
    </row>
    <row r="10" ht="21.75" customHeight="1" s="39">
      <c r="A10" s="72" t="n">
        <v>1</v>
      </c>
      <c r="B10" s="73" t="n"/>
      <c r="C10" s="74" t="inlineStr">
        <is>
          <t>GERAÇÃO FOTOVOLTAICA</t>
        </is>
      </c>
      <c r="D10" s="50" t="n"/>
      <c r="E10" s="73" t="n"/>
      <c r="F10" s="73" t="n"/>
      <c r="G10" s="73" t="n"/>
      <c r="H10" s="73" t="n"/>
      <c r="I10" s="73" t="n"/>
    </row>
    <row r="11" ht="43.5" customHeight="1" s="39">
      <c r="A11" s="75" t="inlineStr">
        <is>
          <t>1.1</t>
        </is>
      </c>
      <c r="B11" s="76" t="inlineStr">
        <is>
          <t>PV1 a PV3</t>
        </is>
      </c>
      <c r="C11" s="67" t="inlineStr">
        <is>
          <t>MÓDULO FOTOVOLTAICO ZTROON ZTP-310MI, 310 Wp, MONOCRISTALINO, 60 CÉLULAS (Vmp 34,63 V; Imp 8,95 A; Voc 40,5 V; Isc 9,43 A), 1650x880x30 mm</t>
        </is>
      </c>
      <c r="D11" s="50" t="n"/>
      <c r="E11" s="75" t="inlineStr">
        <is>
          <t>un</t>
        </is>
      </c>
      <c r="F11" s="77" t="n">
        <v>3</v>
      </c>
      <c r="G11" s="78" t="n">
        <v>460</v>
      </c>
      <c r="H11" s="79">
        <f>IF(G11="","",F11*G11)</f>
        <v/>
      </c>
      <c r="I11" s="80" t="inlineStr">
        <is>
          <t>Modulo Ztroon ZTP-310MI 310Wp Monocristalino PERC. Preco unitario medio de mercado.</t>
        </is>
      </c>
      <c r="J11" s="81" t="inlineStr">
        <is>
          <t>https://lista.mercadolivre.com.br/painel-solar-310w-monocristalino</t>
        </is>
      </c>
    </row>
    <row r="12" ht="30.75" customHeight="1" s="39">
      <c r="A12" s="75" t="inlineStr">
        <is>
          <t>1.2</t>
        </is>
      </c>
      <c r="B12" s="76" t="inlineStr">
        <is>
          <t>EST-PV</t>
        </is>
      </c>
      <c r="C12" s="67" t="inlineStr">
        <is>
          <t>ESTRUTURA/KIT DE FIXAÇÃO DOS MÓDULOS NO TETO DO FURGÃO, EM ALUMÍNIO, COM VEDAÇÃO E ATERRAMENTO DA ESTRUTURA</t>
        </is>
      </c>
      <c r="D12" s="50" t="n"/>
      <c r="E12" s="75" t="inlineStr">
        <is>
          <t>conj</t>
        </is>
      </c>
      <c r="F12" s="77" t="n">
        <v>1</v>
      </c>
      <c r="G12" s="78" t="n">
        <v>180</v>
      </c>
      <c r="H12" s="79">
        <f>IF(G12="","",F12*G12)</f>
        <v/>
      </c>
      <c r="I12" s="80" t="inlineStr">
        <is>
          <t>Kit fixacao perfil Z em aluminio para teto veicular (12 suportes para 3 modulos + parafusos inox + vedacao PU).</t>
        </is>
      </c>
      <c r="J12" s="81" t="inlineStr">
        <is>
          <t>https://lista.mercadolivre.com.br/suporte-z-painel-solar-motorhome</t>
        </is>
      </c>
    </row>
    <row r="13" ht="25.5" customHeight="1" s="39">
      <c r="A13" s="75" t="inlineStr">
        <is>
          <t>1.3</t>
        </is>
      </c>
      <c r="B13" s="76" t="inlineStr">
        <is>
          <t>X1</t>
        </is>
      </c>
      <c r="C13" s="67" t="inlineStr">
        <is>
          <t>CONECTOR FOTOVOLTAICO MC4 (PAR MACHO/FÊMEA) PARA CABO SOLAR 4 mm²</t>
        </is>
      </c>
      <c r="D13" s="50" t="n"/>
      <c r="E13" s="75" t="inlineStr">
        <is>
          <t>par</t>
        </is>
      </c>
      <c r="F13" s="77" t="n">
        <v>2</v>
      </c>
      <c r="G13" s="78" t="n">
        <v>14</v>
      </c>
      <c r="H13" s="79">
        <f>IF(G13="","",F13*G13)</f>
        <v/>
      </c>
      <c r="I13" s="80" t="inlineStr">
        <is>
          <t>Conector solar MC4 original com trava de seguranca IP67 (macho/femea).</t>
        </is>
      </c>
      <c r="J13" s="81" t="inlineStr">
        <is>
          <t>https://lista.mercadolivre.com.br/conector-mc4-par</t>
        </is>
      </c>
    </row>
    <row r="14" ht="30.75" customHeight="1" s="39">
      <c r="A14" s="75" t="inlineStr">
        <is>
          <t>1.4</t>
        </is>
      </c>
      <c r="B14" s="76" t="inlineStr">
        <is>
          <t>QFV-01</t>
        </is>
      </c>
      <c r="C14" s="67" t="inlineStr">
        <is>
          <t>QUADRO CC FOTOVOLTAICO EM CAIXA DE POLICARBONATO IP65, COM TRILHO DIN</t>
        </is>
      </c>
      <c r="D14" s="50" t="n"/>
      <c r="E14" s="75" t="inlineStr">
        <is>
          <t>un</t>
        </is>
      </c>
      <c r="F14" s="77" t="n">
        <v>1</v>
      </c>
      <c r="G14" s="78" t="n">
        <v>85</v>
      </c>
      <c r="H14" s="79">
        <f>IF(G14="","",F14*G14)</f>
        <v/>
      </c>
      <c r="I14" s="80" t="inlineStr">
        <is>
          <t>Quadro CC sobrepor IP65 em policarbonato com trilho DIN (4 a 8 modulos).</t>
        </is>
      </c>
      <c r="J14" s="81" t="inlineStr">
        <is>
          <t>https://lista.mercadolivre.com.br/quadro-distribuicao-ip65-trilho-din</t>
        </is>
      </c>
    </row>
    <row r="15" ht="30.75" customHeight="1" s="39">
      <c r="A15" s="75" t="inlineStr">
        <is>
          <t>1.5</t>
        </is>
      </c>
      <c r="B15" s="76" t="inlineStr">
        <is>
          <t>Q-FV1</t>
        </is>
      </c>
      <c r="C15" s="67" t="inlineStr">
        <is>
          <t>DISJUNTOR/SECCIONADOR CC BIPOLAR 16 A, TENSÃO NOMINAL CC &gt;= Voc DO ARRANJO</t>
        </is>
      </c>
      <c r="D15" s="50" t="n"/>
      <c r="E15" s="75" t="inlineStr">
        <is>
          <t>un</t>
        </is>
      </c>
      <c r="F15" s="77" t="n">
        <v>1</v>
      </c>
      <c r="G15" s="78" t="n">
        <v>55</v>
      </c>
      <c r="H15" s="79">
        <f>IF(G15="","",F15*G15)</f>
        <v/>
      </c>
      <c r="I15" s="80" t="inlineStr">
        <is>
          <t>Disjuntor CC termomagnetico bipolar 16A, tensao nominal 500V/1000Vcc.</t>
        </is>
      </c>
      <c r="J15" s="81" t="inlineStr">
        <is>
          <t>https://lista.mercadolivre.com.br/disjuntor-cc-16a-bipolar</t>
        </is>
      </c>
    </row>
    <row r="16" ht="25.5" customHeight="1" s="39">
      <c r="A16" s="75" t="inlineStr">
        <is>
          <t>1.6</t>
        </is>
      </c>
      <c r="B16" s="76" t="inlineStr">
        <is>
          <t>DPS-CC1</t>
        </is>
      </c>
      <c r="C16" s="67" t="inlineStr">
        <is>
          <t>DPS CC TIPO 2, Uc &gt;= Voc DO ARRANJO (CONEXÃO + / PE E - / PE)</t>
        </is>
      </c>
      <c r="D16" s="50" t="n"/>
      <c r="E16" s="75" t="inlineStr">
        <is>
          <t>un</t>
        </is>
      </c>
      <c r="F16" s="77" t="n">
        <v>2</v>
      </c>
      <c r="G16" s="78" t="n">
        <v>165</v>
      </c>
      <c r="H16" s="79">
        <f>IF(G16="","",F16*G16)</f>
        <v/>
      </c>
      <c r="I16" s="80" t="inlineStr">
        <is>
          <t>DPS CC Tipo 2 Classe II Clamper Solar 1040V / 40kA (Sete Lagoas - MG).</t>
        </is>
      </c>
      <c r="J16" s="81" t="inlineStr">
        <is>
          <t>https://www.lojaclamper.com.br/solar</t>
        </is>
      </c>
    </row>
    <row r="17" ht="21.75" customHeight="1" s="39">
      <c r="A17" s="72" t="n">
        <v>2</v>
      </c>
      <c r="B17" s="73" t="n"/>
      <c r="C17" s="74" t="inlineStr">
        <is>
          <t>CONTROLE DE CARGA (MPPT)</t>
        </is>
      </c>
      <c r="D17" s="50" t="n"/>
      <c r="E17" s="73" t="n"/>
      <c r="F17" s="73" t="n"/>
      <c r="G17" s="73" t="n"/>
      <c r="H17" s="73" t="n"/>
      <c r="I17" s="73" t="n"/>
    </row>
    <row r="18" ht="30.75" customHeight="1" s="39">
      <c r="A18" s="75" t="inlineStr">
        <is>
          <t>2.1</t>
        </is>
      </c>
      <c r="B18" s="76" t="inlineStr">
        <is>
          <t>CC-01</t>
        </is>
      </c>
      <c r="C18" s="67" t="inlineStr">
        <is>
          <t>CONTROLADOR DE CARGA MPPT 48 V, Vpv MÁX &gt; Voc DO ARRANJO NA MENOR TEMPERATURA, I SAÍDA &gt;= Pfv/Vbat</t>
        </is>
      </c>
      <c r="D18" s="50" t="n"/>
      <c r="E18" s="75" t="inlineStr">
        <is>
          <t>un</t>
        </is>
      </c>
      <c r="F18" s="77" t="n">
        <v>1</v>
      </c>
      <c r="G18" s="78" t="n">
        <v>195</v>
      </c>
      <c r="H18" s="79">
        <f>IF(G18="","",F18*G18)</f>
        <v/>
      </c>
      <c r="I18" s="80" t="inlineStr">
        <is>
          <t>Modulo MPPT Buck-Boost ZK-SJ20 (300W/20A) adotado no projeto Amper Code. (Ref. Epever MPPT Tracer 48V: R$ 890,00).</t>
        </is>
      </c>
      <c r="J18" s="81" t="inlineStr">
        <is>
          <t>https://lista.mercadolivre.com.br/modulo-zk-sj20-mppt</t>
        </is>
      </c>
    </row>
    <row r="19" ht="30.75" customHeight="1" s="39">
      <c r="A19" s="75" t="inlineStr">
        <is>
          <t>2.2</t>
        </is>
      </c>
      <c r="B19" s="76" t="inlineStr">
        <is>
          <t>Q-CC1</t>
        </is>
      </c>
      <c r="C19" s="67" t="inlineStr">
        <is>
          <t>DISJUNTOR CC BIPOLAR NA SAÍDA DO MPPT, In &gt;= 1,25 x I SAÍDA MÁXIMA DO CONTROLADOR</t>
        </is>
      </c>
      <c r="D19" s="50" t="n"/>
      <c r="E19" s="75" t="inlineStr">
        <is>
          <t>un</t>
        </is>
      </c>
      <c r="F19" s="77" t="n">
        <v>1</v>
      </c>
      <c r="G19" s="78" t="n">
        <v>55</v>
      </c>
      <c r="H19" s="79">
        <f>IF(G19="","",F19*G19)</f>
        <v/>
      </c>
      <c r="I19" s="80" t="inlineStr">
        <is>
          <t>Disjuntor CC bipolar 20A na saida do MPPT para protecao do barramento.</t>
        </is>
      </c>
      <c r="J19" s="81" t="inlineStr">
        <is>
          <t>https://lista.mercadolivre.com.br/disjuntor-cc-20a-bipolar</t>
        </is>
      </c>
    </row>
    <row r="20" ht="21.75" customHeight="1" s="39">
      <c r="A20" s="72" t="n">
        <v>3</v>
      </c>
      <c r="B20" s="73" t="n"/>
      <c r="C20" s="74" t="inlineStr">
        <is>
          <t>BANCO DE BATERIAS 48 V</t>
        </is>
      </c>
      <c r="D20" s="50" t="n"/>
      <c r="E20" s="73" t="n"/>
      <c r="F20" s="73" t="n"/>
      <c r="G20" s="73" t="n"/>
      <c r="H20" s="73" t="n"/>
      <c r="I20" s="73" t="n"/>
    </row>
    <row r="21" ht="43.5" customHeight="1" s="39">
      <c r="A21" s="75" t="inlineStr">
        <is>
          <t>3.1</t>
        </is>
      </c>
      <c r="B21" s="76" t="inlineStr">
        <is>
          <t>BAT-01</t>
        </is>
      </c>
      <c r="C21" s="67" t="inlineStr">
        <is>
          <t>BANCO DE BATERIAS 48 Vcc, CAPACIDADE ÚTIL &gt;= 4,1 kWh (~86 Ah A 48 V, DoD 80 %, SEM AUTONOMIA ADICIONAL)</t>
        </is>
      </c>
      <c r="D21" s="50" t="n"/>
      <c r="E21" s="75" t="inlineStr">
        <is>
          <t>conj</t>
        </is>
      </c>
      <c r="F21" s="77" t="n">
        <v>1</v>
      </c>
      <c r="G21" s="78" t="n">
        <v>0</v>
      </c>
      <c r="H21" s="79">
        <f>IF(G21="","",F21*G21)</f>
        <v/>
      </c>
      <c r="I21" s="80" t="inlineStr">
        <is>
          <t>R$ 0,00: Aproveitamento da bateria nativa Li-Ion 48V 19,5Ah do furgao Ducato. (Ref. comercial de banco LiFePO4 48V 100Ah avulso: R$ 5.500,00).</t>
        </is>
      </c>
      <c r="J21" s="81" t="inlineStr">
        <is>
          <t>https://lista.mercadolivre.com.br/bateria-lifepo4-48v-100ah</t>
        </is>
      </c>
    </row>
    <row r="22" ht="25.5" customHeight="1" s="39">
      <c r="A22" s="75" t="inlineStr">
        <is>
          <t>3.2</t>
        </is>
      </c>
      <c r="B22" s="76" t="inlineStr">
        <is>
          <t>BMS-01</t>
        </is>
      </c>
      <c r="C22" s="67" t="inlineStr">
        <is>
          <t>BMS PARA BANCO 48 V (INTEGRADO AO PACK, SE LiFePO4)</t>
        </is>
      </c>
      <c r="D22" s="50" t="n"/>
      <c r="E22" s="75" t="inlineStr">
        <is>
          <t>un</t>
        </is>
      </c>
      <c r="F22" s="77" t="n">
        <v>1</v>
      </c>
      <c r="G22" s="78" t="n">
        <v>0</v>
      </c>
      <c r="H22" s="79">
        <f>IF(G22="","",F22*G22)</f>
        <v/>
      </c>
      <c r="I22" s="80" t="inlineStr">
        <is>
          <t>R$ 0,00: BMS integrado a bateria Li-Ion nativa do veiculo. (Ref. avulsa Daly Smart BMS 48V 16S 100A: R$ 850,00).</t>
        </is>
      </c>
      <c r="J22" s="81" t="inlineStr">
        <is>
          <t>https://lista.mercadolivre.com.br/daly-bms-48v-16s</t>
        </is>
      </c>
    </row>
    <row r="23" ht="30.75" customHeight="1" s="39">
      <c r="A23" s="75" t="inlineStr">
        <is>
          <t>3.3</t>
        </is>
      </c>
      <c r="B23" s="76" t="inlineStr">
        <is>
          <t>F-01</t>
        </is>
      </c>
      <c r="C23" s="67" t="inlineStr">
        <is>
          <t>FUSÍVEL PRINCIPAL CC COM PORTA-FUSÍVEL, INSTALADO JUNTO AO POLO POSITIVO DA BATERIA</t>
        </is>
      </c>
      <c r="D23" s="50" t="n"/>
      <c r="E23" s="75" t="inlineStr">
        <is>
          <t>un</t>
        </is>
      </c>
      <c r="F23" s="77" t="n">
        <v>1</v>
      </c>
      <c r="G23" s="78" t="n">
        <v>45</v>
      </c>
      <c r="H23" s="79">
        <f>IF(G23="","",F23*G23)</f>
        <v/>
      </c>
      <c r="I23" s="80" t="inlineStr">
        <is>
          <t>Porta-fusivel blindado tipo ANL + fusivel de acao rapida 100A/150A para protecao CC.</t>
        </is>
      </c>
      <c r="J23" s="81" t="inlineStr">
        <is>
          <t>https://lista.mercadolivre.com.br/porta-fusivel-anl-100a</t>
        </is>
      </c>
    </row>
    <row r="24" ht="25.5" customHeight="1" s="39">
      <c r="A24" s="75" t="inlineStr">
        <is>
          <t>3.4</t>
        </is>
      </c>
      <c r="B24" s="76" t="inlineStr">
        <is>
          <t>S-01</t>
        </is>
      </c>
      <c r="C24" s="67" t="inlineStr">
        <is>
          <t>CHAVE SECCIONADORA CC BIPOLAR, Vn CC &gt;= 60 V, In &gt;= F-01</t>
        </is>
      </c>
      <c r="D24" s="50" t="n"/>
      <c r="E24" s="75" t="inlineStr">
        <is>
          <t>un</t>
        </is>
      </c>
      <c r="F24" s="77" t="n">
        <v>1</v>
      </c>
      <c r="G24" s="78" t="n">
        <v>65</v>
      </c>
      <c r="H24" s="79">
        <f>IF(G24="","",F24*G24)</f>
        <v/>
      </c>
      <c r="I24" s="80" t="inlineStr">
        <is>
          <t>Chave seccionadora rotativa bipolar CC 100A continuo / 300A pico para corte de seguranca.</t>
        </is>
      </c>
      <c r="J24" s="81" t="inlineStr">
        <is>
          <t>https://lista.mercadolivre.com.br/chave-geral-bateria-300a</t>
        </is>
      </c>
    </row>
    <row r="25" ht="30.75" customHeight="1" s="39">
      <c r="A25" s="75" t="inlineStr">
        <is>
          <t>3.5</t>
        </is>
      </c>
      <c r="B25" s="76" t="inlineStr">
        <is>
          <t>BCC+ / BCC-</t>
        </is>
      </c>
      <c r="C25" s="67" t="inlineStr">
        <is>
          <t>BARRAMENTO CC DE COBRE (POSITIVO E NEGATIVO), &gt;= 100 A, COM BORNES PARA CABOS ATÉ 25 mm²</t>
        </is>
      </c>
      <c r="D25" s="50" t="n"/>
      <c r="E25" s="75" t="inlineStr">
        <is>
          <t>un</t>
        </is>
      </c>
      <c r="F25" s="77" t="n">
        <v>2</v>
      </c>
      <c r="G25" s="78" t="n">
        <v>60</v>
      </c>
      <c r="H25" s="79">
        <f>IF(G25="","",F25*G25)</f>
        <v/>
      </c>
      <c r="I25" s="80" t="inlineStr">
        <is>
          <t>Barramento CC de cobre eletrolitico 100A com base isoladora e bornes para terminais de 25mm2.</t>
        </is>
      </c>
      <c r="J25" s="81" t="inlineStr">
        <is>
          <t>https://lista.mercadolivre.com.br/barramento-de-cobre-100a-com-isolador</t>
        </is>
      </c>
    </row>
    <row r="26" ht="30.75" customHeight="1" s="39">
      <c r="A26" s="75" t="inlineStr">
        <is>
          <t>3.6</t>
        </is>
      </c>
      <c r="B26" s="76" t="inlineStr">
        <is>
          <t>SUP-BAT</t>
        </is>
      </c>
      <c r="C26" s="67" t="inlineStr">
        <is>
          <t>SUPORTE E FIXAÇÃO DO BANCO DE BATERIAS E DO INVERSOR AO PISO/PAREDE DO FURGÃO</t>
        </is>
      </c>
      <c r="D26" s="50" t="n"/>
      <c r="E26" s="75" t="inlineStr">
        <is>
          <t>conj</t>
        </is>
      </c>
      <c r="F26" s="77" t="n">
        <v>1</v>
      </c>
      <c r="G26" s="78" t="n">
        <v>120</v>
      </c>
      <c r="H26" s="79">
        <f>IF(G26="","",F26*G26)</f>
        <v/>
      </c>
      <c r="I26" s="80" t="inlineStr">
        <is>
          <t>Berco metalico estrutural e cintas de fixacao para ancoragem segura da bateria e inversor no piso do furgao.</t>
        </is>
      </c>
      <c r="J26" s="81" t="inlineStr">
        <is>
          <t>https://lista.mercadolivre.com.br/suporte-bateria-automotiva-universal</t>
        </is>
      </c>
    </row>
    <row r="27" ht="21.75" customHeight="1" s="39">
      <c r="A27" s="72" t="n">
        <v>4</v>
      </c>
      <c r="B27" s="73" t="n"/>
      <c r="C27" s="74" t="inlineStr">
        <is>
          <t>INVERSOR OFF-GRID</t>
        </is>
      </c>
      <c r="D27" s="50" t="n"/>
      <c r="E27" s="73" t="n"/>
      <c r="F27" s="73" t="n"/>
      <c r="G27" s="73" t="n"/>
      <c r="H27" s="73" t="n"/>
      <c r="I27" s="73" t="n"/>
    </row>
    <row r="28" ht="30.75" customHeight="1" s="39">
      <c r="A28" s="75" t="inlineStr">
        <is>
          <t>4.1</t>
        </is>
      </c>
      <c r="B28" s="76" t="inlineStr">
        <is>
          <t>INV-01</t>
        </is>
      </c>
      <c r="C28" s="67" t="inlineStr">
        <is>
          <t>INVERSOR SOLAR OFF-GRID EPEVER IPOWER PLUS IP3000-41 (T), 3000 W (SURTO 6000 W), 48 Vcc / 127 Vca, 60 Hz</t>
        </is>
      </c>
      <c r="D28" s="50" t="n"/>
      <c r="E28" s="75" t="inlineStr">
        <is>
          <t>un</t>
        </is>
      </c>
      <c r="F28" s="77" t="n">
        <v>1</v>
      </c>
      <c r="G28" s="78" t="n">
        <v>3490</v>
      </c>
      <c r="H28" s="79">
        <f>IF(G28="","",F28*G28)</f>
        <v/>
      </c>
      <c r="I28" s="80" t="inlineStr">
        <is>
          <t>Inversor Off-Grid Epever IPower Plus IP3000-41(T) 3000W continuo / 6000W surto, 48Vcc para 127Vca onda senoidal pura.</t>
        </is>
      </c>
      <c r="J28" s="81" t="inlineStr">
        <is>
          <t>https://lista.mercadolivre.com.br/inversor-epever-3000w-48v</t>
        </is>
      </c>
    </row>
    <row r="29" ht="25.5" customHeight="1" s="39">
      <c r="A29" s="75" t="inlineStr">
        <is>
          <t>4.2</t>
        </is>
      </c>
      <c r="B29" s="76" t="inlineStr">
        <is>
          <t>Q-INV</t>
        </is>
      </c>
      <c r="C29" s="67" t="inlineStr">
        <is>
          <t>DISJUNTOR/FUSÍVEL CC BIPOLAR ~100 A NA ENTRADA DO INVERSOR</t>
        </is>
      </c>
      <c r="D29" s="50" t="n"/>
      <c r="E29" s="75" t="inlineStr">
        <is>
          <t>un</t>
        </is>
      </c>
      <c r="F29" s="77" t="n">
        <v>1</v>
      </c>
      <c r="G29" s="78" t="n">
        <v>95</v>
      </c>
      <c r="H29" s="79">
        <f>IF(G29="","",F29*G29)</f>
        <v/>
      </c>
      <c r="I29" s="80" t="inlineStr">
        <is>
          <t>Disjuntor termomagnetico CC bipolar 100A na entrada do inversor.</t>
        </is>
      </c>
      <c r="J29" s="81" t="inlineStr">
        <is>
          <t>https://lista.mercadolivre.com.br/disjuntor-cc-100a-bipolar</t>
        </is>
      </c>
    </row>
    <row r="30" ht="21.75" customHeight="1" s="39">
      <c r="A30" s="72" t="n">
        <v>5</v>
      </c>
      <c r="B30" s="73" t="n"/>
      <c r="C30" s="74" t="inlineStr">
        <is>
          <t>QUADRO DE DISTRIBUIÇÃO CA (QD-01)</t>
        </is>
      </c>
      <c r="D30" s="50" t="n"/>
      <c r="E30" s="73" t="n"/>
      <c r="F30" s="73" t="n"/>
      <c r="G30" s="73" t="n"/>
      <c r="H30" s="73" t="n"/>
      <c r="I30" s="73" t="n"/>
    </row>
    <row r="31" ht="25.5" customHeight="1" s="39">
      <c r="A31" s="75" t="inlineStr">
        <is>
          <t>5.1</t>
        </is>
      </c>
      <c r="B31" s="76" t="inlineStr">
        <is>
          <t>QD-01</t>
        </is>
      </c>
      <c r="C31" s="67" t="inlineStr">
        <is>
          <t>QUADRO DE DISTRIBUIÇÃO CA 127 V COM TRILHO DIN, &gt;= 12 MÓDULOS</t>
        </is>
      </c>
      <c r="D31" s="50" t="n"/>
      <c r="E31" s="75" t="inlineStr">
        <is>
          <t>un</t>
        </is>
      </c>
      <c r="F31" s="77" t="n">
        <v>1</v>
      </c>
      <c r="G31" s="78" t="n">
        <v>65</v>
      </c>
      <c r="H31" s="79">
        <f>IF(G31="","",F31*G31)</f>
        <v/>
      </c>
      <c r="I31" s="80" t="inlineStr">
        <is>
          <t>Quadro de distribuicao sobrepor em termoplastico para 12 disjuntores DIN (Steck/Brum/Tigre).</t>
        </is>
      </c>
      <c r="J31" s="81" t="inlineStr">
        <is>
          <t>https://www.leroymerlin.com.br/busca?term=quadro+distribuicao+12+disjuntores+sobrepor</t>
        </is>
      </c>
    </row>
    <row r="32" ht="25.5" customHeight="1" s="39">
      <c r="A32" s="75" t="inlineStr">
        <is>
          <t>5.2</t>
        </is>
      </c>
      <c r="B32" s="76" t="inlineStr">
        <is>
          <t>QG-01</t>
        </is>
      </c>
      <c r="C32" s="67" t="inlineStr">
        <is>
          <t>DISJUNTOR GERAL BIPOLAR 25 A, 127 V</t>
        </is>
      </c>
      <c r="D32" s="50" t="n"/>
      <c r="E32" s="75" t="inlineStr">
        <is>
          <t>un</t>
        </is>
      </c>
      <c r="F32" s="77" t="n">
        <v>1</v>
      </c>
      <c r="G32" s="78" t="n">
        <v>32</v>
      </c>
      <c r="H32" s="79">
        <f>IF(G32="","",F32*G32)</f>
        <v/>
      </c>
      <c r="I32" s="80" t="inlineStr">
        <is>
          <t>Disjuntor geral bipolar 25A 127V curva C (Steck / Schneider).</t>
        </is>
      </c>
      <c r="J32" s="81" t="inlineStr">
        <is>
          <t>https://www.leroymerlin.com.br/busca?term=disjuntor+bipolar+25a+steck</t>
        </is>
      </c>
    </row>
    <row r="33" ht="25.5" customHeight="1" s="39">
      <c r="A33" s="75" t="inlineStr">
        <is>
          <t>5.3</t>
        </is>
      </c>
      <c r="B33" s="76" t="inlineStr">
        <is>
          <t>DPS-CA1</t>
        </is>
      </c>
      <c r="C33" s="67" t="inlineStr">
        <is>
          <t>DPS CA TIPO 2 (CONEXÕES F-PE E N-PE)</t>
        </is>
      </c>
      <c r="D33" s="50" t="n"/>
      <c r="E33" s="75" t="inlineStr">
        <is>
          <t>un</t>
        </is>
      </c>
      <c r="F33" s="77" t="n">
        <v>2</v>
      </c>
      <c r="G33" s="78" t="n">
        <v>48</v>
      </c>
      <c r="H33" s="79">
        <f>IF(G33="","",F33*G33)</f>
        <v/>
      </c>
      <c r="I33" s="80" t="inlineStr">
        <is>
          <t>DPS CA Tipo 2 Classe II Clamper Front 275V / 20kA para protecao de fase e neutro.</t>
        </is>
      </c>
      <c r="J33" s="81" t="inlineStr">
        <is>
          <t>https://www.lojaclamper.com.br/clamper-front</t>
        </is>
      </c>
    </row>
    <row r="34" ht="25.5" customHeight="1" s="39">
      <c r="A34" s="75" t="inlineStr">
        <is>
          <t>5.4</t>
        </is>
      </c>
      <c r="B34" s="76" t="inlineStr">
        <is>
          <t>DR-01</t>
        </is>
      </c>
      <c r="C34" s="67" t="inlineStr">
        <is>
          <t>INTERRUPTOR DIFERENCIAL RESIDUAL BIPOLAR 40 A / 30 mA</t>
        </is>
      </c>
      <c r="D34" s="50" t="n"/>
      <c r="E34" s="75" t="inlineStr">
        <is>
          <t>un</t>
        </is>
      </c>
      <c r="F34" s="77" t="n">
        <v>1</v>
      </c>
      <c r="G34" s="78" t="n">
        <v>98</v>
      </c>
      <c r="H34" s="79">
        <f>IF(G34="","",F34*G34)</f>
        <v/>
      </c>
      <c r="I34" s="80" t="inlineStr">
        <is>
          <t>Interruptor Diferencial Residual (IDR) bipolar 40A / 30mA norma NBR 5410.</t>
        </is>
      </c>
      <c r="J34" s="81" t="inlineStr">
        <is>
          <t>https://www.leroymerlin.com.br/busca?term=idr+bipolar+40a+30ma+steck</t>
        </is>
      </c>
    </row>
    <row r="35" ht="30.75" customHeight="1" s="39">
      <c r="A35" s="75" t="inlineStr">
        <is>
          <t>5.5</t>
        </is>
      </c>
      <c r="B35" s="76" t="inlineStr">
        <is>
          <t>Q1, Q2, Q4-Q6</t>
        </is>
      </c>
      <c r="C35" s="67" t="inlineStr">
        <is>
          <t>DISJUNTOR UNIPOLAR 10 A</t>
        </is>
      </c>
      <c r="D35" s="50" t="n"/>
      <c r="E35" s="75" t="inlineStr">
        <is>
          <t>un</t>
        </is>
      </c>
      <c r="F35" s="77" t="n">
        <v>5</v>
      </c>
      <c r="G35" s="78" t="n">
        <v>14</v>
      </c>
      <c r="H35" s="79">
        <f>IF(G35="","",F35*G35)</f>
        <v/>
      </c>
      <c r="I35" s="80" t="inlineStr">
        <is>
          <t>Disjuntor unipolar 10A curva C DIN (Steck / Tramontina).</t>
        </is>
      </c>
      <c r="J35" s="81" t="inlineStr">
        <is>
          <t>https://www.leroymerlin.com.br/busca?term=disjuntor+unipolar+10a+steck</t>
        </is>
      </c>
    </row>
    <row r="36" ht="25.5" customHeight="1" s="39">
      <c r="A36" s="75" t="inlineStr">
        <is>
          <t>5.6</t>
        </is>
      </c>
      <c r="B36" s="76" t="inlineStr">
        <is>
          <t>Q3</t>
        </is>
      </c>
      <c r="C36" s="67" t="inlineStr">
        <is>
          <t>DISJUNTOR UNIPOLAR 16 OU 20 A (TOMADAS DOS NOTEBOOKS)</t>
        </is>
      </c>
      <c r="D36" s="50" t="n"/>
      <c r="E36" s="75" t="inlineStr">
        <is>
          <t>un</t>
        </is>
      </c>
      <c r="F36" s="77" t="n">
        <v>1</v>
      </c>
      <c r="G36" s="78" t="n">
        <v>14</v>
      </c>
      <c r="H36" s="79">
        <f>IF(G36="","",F36*G36)</f>
        <v/>
      </c>
      <c r="I36" s="80" t="inlineStr">
        <is>
          <t>Disjuntor unipolar 20A curva C DIN para circuito de tomadas de notebooks.</t>
        </is>
      </c>
      <c r="J36" s="81" t="inlineStr">
        <is>
          <t>https://www.leroymerlin.com.br/busca?term=disjuntor+unipolar+20a+steck</t>
        </is>
      </c>
    </row>
    <row r="37" ht="25.5" customHeight="1" s="39">
      <c r="A37" s="75" t="inlineStr">
        <is>
          <t>5.7</t>
        </is>
      </c>
      <c r="B37" s="76" t="inlineStr">
        <is>
          <t>BF-01</t>
        </is>
      </c>
      <c r="C37" s="67" t="inlineStr">
        <is>
          <t>BARRAMENTO DE FASE (PENTE) PARA O QUADRO CA</t>
        </is>
      </c>
      <c r="D37" s="50" t="n"/>
      <c r="E37" s="75" t="inlineStr">
        <is>
          <t>un</t>
        </is>
      </c>
      <c r="F37" s="77" t="n">
        <v>1</v>
      </c>
      <c r="G37" s="78" t="n">
        <v>28</v>
      </c>
      <c r="H37" s="79">
        <f>IF(G37="","",F37*G37)</f>
        <v/>
      </c>
      <c r="I37" s="80" t="inlineStr">
        <is>
          <t>Barramento pente bifasico/monofasico em cobre isolado para conexao DIN.</t>
        </is>
      </c>
      <c r="J37" s="81" t="inlineStr">
        <is>
          <t>https://www.leroymerlin.com.br/busca?term=barramento+pente+fase</t>
        </is>
      </c>
    </row>
    <row r="38" ht="25.5" customHeight="1" s="39">
      <c r="A38" s="75" t="inlineStr">
        <is>
          <t>5.8</t>
        </is>
      </c>
      <c r="B38" s="76" t="inlineStr">
        <is>
          <t>BN-01</t>
        </is>
      </c>
      <c r="C38" s="67" t="inlineStr">
        <is>
          <t>BARRAMENTO DE NEUTRO PARA O QUADRO CA</t>
        </is>
      </c>
      <c r="D38" s="50" t="n"/>
      <c r="E38" s="75" t="inlineStr">
        <is>
          <t>un</t>
        </is>
      </c>
      <c r="F38" s="77" t="n">
        <v>1</v>
      </c>
      <c r="G38" s="78" t="n">
        <v>18</v>
      </c>
      <c r="H38" s="79">
        <f>IF(G38="","",F38*G38)</f>
        <v/>
      </c>
      <c r="I38" s="80" t="inlineStr">
        <is>
          <t>Barramento de neutro em latao/cobre com suporte isolador para fixacao em trilho DIN.</t>
        </is>
      </c>
      <c r="J38" s="81" t="inlineStr">
        <is>
          <t>https://www.leroymerlin.com.br/busca?term=barramento+neutro</t>
        </is>
      </c>
    </row>
    <row r="39" ht="25.5" customHeight="1" s="39">
      <c r="A39" s="75" t="inlineStr">
        <is>
          <t>5.9</t>
        </is>
      </c>
      <c r="B39" s="76" t="inlineStr">
        <is>
          <t>BPE-01</t>
        </is>
      </c>
      <c r="C39" s="67" t="inlineStr">
        <is>
          <t>BARRAMENTO DE PROTEÇÃO (PE) PARA O QUADRO CA</t>
        </is>
      </c>
      <c r="D39" s="50" t="n"/>
      <c r="E39" s="75" t="inlineStr">
        <is>
          <t>un</t>
        </is>
      </c>
      <c r="F39" s="77" t="n">
        <v>1</v>
      </c>
      <c r="G39" s="78" t="n">
        <v>18</v>
      </c>
      <c r="H39" s="79">
        <f>IF(G39="","",F39*G39)</f>
        <v/>
      </c>
      <c r="I39" s="80" t="inlineStr">
        <is>
          <t>Barramento de terra (PE) em latao/cobre com suporte isolador DIN.</t>
        </is>
      </c>
      <c r="J39" s="81" t="inlineStr">
        <is>
          <t>https://www.leroymerlin.com.br/busca?term=barramento+terra</t>
        </is>
      </c>
    </row>
    <row r="40" ht="21.75" customHeight="1" s="39">
      <c r="A40" s="72" t="n">
        <v>6</v>
      </c>
      <c r="B40" s="73" t="n"/>
      <c r="C40" s="74" t="inlineStr">
        <is>
          <t>RAMO AUXILIAR 12 V</t>
        </is>
      </c>
      <c r="D40" s="50" t="n"/>
      <c r="E40" s="73" t="n"/>
      <c r="F40" s="73" t="n"/>
      <c r="G40" s="73" t="n"/>
      <c r="H40" s="73" t="n"/>
      <c r="I40" s="73" t="n"/>
    </row>
    <row r="41" ht="25.5" customHeight="1" s="39">
      <c r="A41" s="75" t="inlineStr">
        <is>
          <t>6.1</t>
        </is>
      </c>
      <c r="B41" s="76" t="inlineStr">
        <is>
          <t>Q-12</t>
        </is>
      </c>
      <c r="C41" s="67" t="inlineStr">
        <is>
          <t>DISJUNTOR CC BIPOLAR 5 A</t>
        </is>
      </c>
      <c r="D41" s="50" t="n"/>
      <c r="E41" s="75" t="inlineStr">
        <is>
          <t>un</t>
        </is>
      </c>
      <c r="F41" s="77" t="n">
        <v>1</v>
      </c>
      <c r="G41" s="78" t="n">
        <v>55</v>
      </c>
      <c r="H41" s="79">
        <f>IF(G41="","",F41*G41)</f>
        <v/>
      </c>
      <c r="I41" s="80" t="inlineStr">
        <is>
          <t>Disjuntor CC bipolar 6A curva C para protecao da linha de entrada do conversor 12V.</t>
        </is>
      </c>
      <c r="J41" s="81" t="inlineStr">
        <is>
          <t>https://lista.mercadolivre.com.br/disjuntor-cc-6a-bipolar</t>
        </is>
      </c>
    </row>
    <row r="42" ht="43.5" customHeight="1" s="39">
      <c r="A42" s="75" t="inlineStr">
        <is>
          <t>6.2</t>
        </is>
      </c>
      <c r="B42" s="76" t="inlineStr">
        <is>
          <t>CV-01</t>
        </is>
      </c>
      <c r="C42" s="67" t="inlineStr">
        <is>
          <t>CONVERSOR BUCK 48 Vcc PARA 13,8 Vcc, ATOWG-48S13R805, 69 W, 5 A</t>
        </is>
      </c>
      <c r="D42" s="50" t="n"/>
      <c r="E42" s="75" t="inlineStr">
        <is>
          <t>un</t>
        </is>
      </c>
      <c r="F42" s="77" t="n">
        <v>1</v>
      </c>
      <c r="G42" s="78" t="n">
        <v>175</v>
      </c>
      <c r="H42" s="79">
        <f>IF(G42="","",F42*G42)</f>
        <v/>
      </c>
      <c r="I42" s="80" t="inlineStr">
        <is>
          <t>Conversor Buck blindado IP68 48Vcc para 13,8Vcc / 12Vcc 5A/10A (ATOWG-48S13R805 ou equivalente homologado).</t>
        </is>
      </c>
      <c r="J42" s="81" t="inlineStr">
        <is>
          <t>https://lista.mercadolivre.com.br/conversor-48v-para-12v-10a</t>
        </is>
      </c>
    </row>
    <row r="43" ht="25.5" customHeight="1" s="39">
      <c r="A43" s="75" t="inlineStr">
        <is>
          <t>6.3</t>
        </is>
      </c>
      <c r="B43" s="76" t="inlineStr">
        <is>
          <t>F-12</t>
        </is>
      </c>
      <c r="C43" s="67" t="inlineStr">
        <is>
          <t>FUSÍVEL 7,5 A COM PORTA-FUSÍVEL (SAÍDA DO CONVERSOR)</t>
        </is>
      </c>
      <c r="D43" s="50" t="n"/>
      <c r="E43" s="75" t="inlineStr">
        <is>
          <t>un</t>
        </is>
      </c>
      <c r="F43" s="77" t="n">
        <v>1</v>
      </c>
      <c r="G43" s="78" t="n">
        <v>12</v>
      </c>
      <c r="H43" s="79">
        <f>IF(G43="","",F43*G43)</f>
        <v/>
      </c>
      <c r="I43" s="80" t="inlineStr">
        <is>
          <t>Porta-fusivel automotivo em linha estanque com fusivel lamina 7,5A.</t>
        </is>
      </c>
      <c r="J43" s="81" t="inlineStr">
        <is>
          <t>https://lista.mercadolivre.com.br/porta-fusivel-lamina-com-fusivel-7-5a</t>
        </is>
      </c>
    </row>
    <row r="44" ht="25.5" customHeight="1" s="39">
      <c r="A44" s="75" t="inlineStr">
        <is>
          <t>6.4</t>
        </is>
      </c>
      <c r="B44" s="76" t="inlineStr">
        <is>
          <t>BB-12</t>
        </is>
      </c>
      <c r="C44" s="67" t="inlineStr">
        <is>
          <t>BARRAMENTO AUXILIAR 13,8 Vcc OU BATERIA 12 V</t>
        </is>
      </c>
      <c r="D44" s="50" t="n"/>
      <c r="E44" s="75" t="inlineStr">
        <is>
          <t>un</t>
        </is>
      </c>
      <c r="F44" s="77" t="n">
        <v>1</v>
      </c>
      <c r="G44" s="78" t="n">
        <v>45</v>
      </c>
      <c r="H44" s="79">
        <f>IF(G44="","",F44*G44)</f>
        <v/>
      </c>
      <c r="I44" s="80" t="inlineStr">
        <is>
          <t>Bloco de distribuicao CC 12V 4 a 6 vias com bornes protegidos.</t>
        </is>
      </c>
      <c r="J44" s="81" t="inlineStr">
        <is>
          <t>https://lista.mercadolivre.com.br/bloco-distribuicao-12v</t>
        </is>
      </c>
    </row>
    <row r="45" ht="21.75" customHeight="1" s="39">
      <c r="A45" s="72" t="n">
        <v>7</v>
      </c>
      <c r="B45" s="73" t="n"/>
      <c r="C45" s="74" t="inlineStr">
        <is>
          <t>CABOS E CONDUTORES (Cu)</t>
        </is>
      </c>
      <c r="D45" s="50" t="n"/>
      <c r="E45" s="73" t="n"/>
      <c r="F45" s="73" t="n"/>
      <c r="G45" s="73" t="n"/>
      <c r="H45" s="73" t="n"/>
      <c r="I45" s="73" t="n"/>
    </row>
    <row r="46" ht="30.75" customHeight="1" s="39">
      <c r="A46" s="75" t="inlineStr">
        <is>
          <t>7.1</t>
        </is>
      </c>
      <c r="B46" s="76" t="inlineStr">
        <is>
          <t>CB-01, CB-02</t>
        </is>
      </c>
      <c r="C46" s="67" t="inlineStr">
        <is>
          <t>CABO SOLAR DE COBRE ESTANHADO 4 mm², 1,8 kV CC, PRETO E VERMELHO</t>
        </is>
      </c>
      <c r="D46" s="50" t="n"/>
      <c r="E46" s="75" t="inlineStr">
        <is>
          <t>m</t>
        </is>
      </c>
      <c r="F46" s="82">
        <f>ROUND((6+0.5)*2*$F$85,1)</f>
        <v/>
      </c>
      <c r="G46" s="78" t="n">
        <v>4.8</v>
      </c>
      <c r="H46" s="79">
        <f>IF(G46="","",F46*G46)</f>
        <v/>
      </c>
      <c r="I46" s="80" t="inlineStr">
        <is>
          <t>Cabo solar estanhado fotovoltaico 4mm2 1,8kVcc anti-UV (preto e vermelho). Preco/metro.</t>
        </is>
      </c>
      <c r="J46" s="81" t="inlineStr">
        <is>
          <t>https://lista.mercadolivre.com.br/cabo-solar-4mm</t>
        </is>
      </c>
    </row>
    <row r="47" ht="30.75" customHeight="1" s="39">
      <c r="A47" s="75" t="inlineStr">
        <is>
          <t>7.2</t>
        </is>
      </c>
      <c r="B47" s="76" t="inlineStr">
        <is>
          <t>CB-03</t>
        </is>
      </c>
      <c r="C47" s="67" t="inlineStr">
        <is>
          <t>CABO FLEXÍVEL DE COBRE 16 mm², 0,6/1 kV, PRETO E VERMELHO</t>
        </is>
      </c>
      <c r="D47" s="50" t="n"/>
      <c r="E47" s="75" t="inlineStr">
        <is>
          <t>m</t>
        </is>
      </c>
      <c r="F47" s="82">
        <f>ROUND(0.6*2*$F$85,1)</f>
        <v/>
      </c>
      <c r="G47" s="78" t="n">
        <v>28</v>
      </c>
      <c r="H47" s="79">
        <f>IF(G47="","",F47*G47)</f>
        <v/>
      </c>
      <c r="I47" s="80" t="inlineStr">
        <is>
          <t>Cabo flexivel de cobre 16mm2 0,6/1kV classe 5 antichama. Preco/metro.</t>
        </is>
      </c>
      <c r="J47" s="81" t="inlineStr">
        <is>
          <t>https://lista.mercadolivre.com.br/cabo-flexivel-16mm</t>
        </is>
      </c>
    </row>
    <row r="48" ht="30.75" customHeight="1" s="39">
      <c r="A48" s="75" t="inlineStr">
        <is>
          <t>7.3</t>
        </is>
      </c>
      <c r="B48" s="76" t="inlineStr">
        <is>
          <t>CB-05, CB-06</t>
        </is>
      </c>
      <c r="C48" s="67" t="inlineStr">
        <is>
          <t>CABO FLEXÍVEL DE COBRE 25 mm², 0,6/1 kV, PRETO E VERMELHO</t>
        </is>
      </c>
      <c r="D48" s="50" t="n"/>
      <c r="E48" s="75" t="inlineStr">
        <is>
          <t>m</t>
        </is>
      </c>
      <c r="F48" s="82">
        <f>ROUND((0.8+0.6)*2*$F$85,1)</f>
        <v/>
      </c>
      <c r="G48" s="78" t="n">
        <v>42</v>
      </c>
      <c r="H48" s="79">
        <f>IF(G48="","",F48*G48)</f>
        <v/>
      </c>
      <c r="I48" s="80" t="inlineStr">
        <is>
          <t>Cabo flexivel de cobre 25mm2 0,6/1kV para conexao bateria e inversor. Preco/metro.</t>
        </is>
      </c>
      <c r="J48" s="81" t="inlineStr">
        <is>
          <t>https://lista.mercadolivre.com.br/cabo-flexivel-25mm</t>
        </is>
      </c>
    </row>
    <row r="49" ht="25.5" customHeight="1" s="39">
      <c r="A49" s="75" t="inlineStr">
        <is>
          <t>7.4</t>
        </is>
      </c>
      <c r="B49" s="76" t="inlineStr">
        <is>
          <t>CB-08, CB-09</t>
        </is>
      </c>
      <c r="C49" s="67" t="inlineStr">
        <is>
          <t>CABO FLEXÍVEL DE COBRE 2,5 mm², 750 V, PRETO E VERMELHO (RAMO 12 V)</t>
        </is>
      </c>
      <c r="D49" s="50" t="n"/>
      <c r="E49" s="75" t="inlineStr">
        <is>
          <t>m</t>
        </is>
      </c>
      <c r="F49" s="82">
        <f>ROUND((1.5+0.5)*2*$F$85,1)</f>
        <v/>
      </c>
      <c r="G49" s="78" t="n">
        <v>2.9</v>
      </c>
      <c r="H49" s="79">
        <f>IF(G49="","",F49*G49)</f>
        <v/>
      </c>
      <c r="I49" s="80" t="inlineStr">
        <is>
          <t>Cabo flexivel de cobre 2,5mm2 750V antichama NBR NM 247-3. Preco/metro.</t>
        </is>
      </c>
      <c r="J49" s="81" t="inlineStr">
        <is>
          <t>https://www.leroymerlin.com.br/busca?term=cabo+flexivel+2-5mm</t>
        </is>
      </c>
    </row>
    <row r="50" ht="25.5" customHeight="1" s="39">
      <c r="A50" s="75" t="inlineStr">
        <is>
          <t>7.5</t>
        </is>
      </c>
      <c r="B50" s="76" t="inlineStr">
        <is>
          <t>CB-07</t>
        </is>
      </c>
      <c r="C50" s="67" t="inlineStr">
        <is>
          <t>CABO FLEXÍVEL DE COBRE 6 mm², 750 V (FASE, NEUTRO E PE)</t>
        </is>
      </c>
      <c r="D50" s="50" t="n"/>
      <c r="E50" s="75" t="inlineStr">
        <is>
          <t>m</t>
        </is>
      </c>
      <c r="F50" s="82">
        <f>ROUND(1*3*$F$85,1)</f>
        <v/>
      </c>
      <c r="G50" s="78" t="n">
        <v>7.5</v>
      </c>
      <c r="H50" s="79">
        <f>IF(G50="","",F50*G50)</f>
        <v/>
      </c>
      <c r="I50" s="80" t="inlineStr">
        <is>
          <t>Cabo flexivel de cobre 6mm2 750V (fase, neutro e PE). Preco/metro.</t>
        </is>
      </c>
      <c r="J50" s="81" t="inlineStr">
        <is>
          <t>https://www.leroymerlin.com.br/busca?term=cabo+flexivel+6mm</t>
        </is>
      </c>
    </row>
    <row r="51" ht="30.75" customHeight="1" s="39">
      <c r="A51" s="75" t="inlineStr">
        <is>
          <t>7.6</t>
        </is>
      </c>
      <c r="B51" s="76" t="inlineStr">
        <is>
          <t>CB-11, CB-12</t>
        </is>
      </c>
      <c r="C51" s="67" t="inlineStr">
        <is>
          <t>CABO FLEXÍVEL DE COBRE 1,5 mm², 750 V (FASE, NEUTRO E PE) - ILUMINAÇÃO</t>
        </is>
      </c>
      <c r="D51" s="50" t="n"/>
      <c r="E51" s="75" t="inlineStr">
        <is>
          <t>m</t>
        </is>
      </c>
      <c r="F51" s="82">
        <f>ROUND((5+6)*3*$F$85,1)</f>
        <v/>
      </c>
      <c r="G51" s="78" t="n">
        <v>1.8</v>
      </c>
      <c r="H51" s="79">
        <f>IF(G51="","",F51*G51)</f>
        <v/>
      </c>
      <c r="I51" s="80" t="inlineStr">
        <is>
          <t>Cabo flexivel de cobre 1,5mm2 750V para circuito de iluminacao. Preco/metro.</t>
        </is>
      </c>
      <c r="J51" s="81" t="inlineStr">
        <is>
          <t>https://www.leroymerlin.com.br/busca?term=cabo+flexivel+1-5mm</t>
        </is>
      </c>
    </row>
    <row r="52" ht="30.75" customHeight="1" s="39">
      <c r="A52" s="75" t="inlineStr">
        <is>
          <t>7.7</t>
        </is>
      </c>
      <c r="B52" s="76" t="inlineStr">
        <is>
          <t>CB-13 a CB-16</t>
        </is>
      </c>
      <c r="C52" s="67" t="inlineStr">
        <is>
          <t>CABO FLEXÍVEL DE COBRE 2,5 mm², 750 V (FASE, NEUTRO E PE) - TOMADAS, FRIGOBAR, NVR/WI-FI E CFTV</t>
        </is>
      </c>
      <c r="D52" s="50" t="n"/>
      <c r="E52" s="75" t="inlineStr">
        <is>
          <t>m</t>
        </is>
      </c>
      <c r="F52" s="82">
        <f>ROUND((3+2.5+1.5+1.5)*3*$F$85,1)</f>
        <v/>
      </c>
      <c r="G52" s="78" t="n">
        <v>2.9</v>
      </c>
      <c r="H52" s="79">
        <f>IF(G52="","",F52*G52)</f>
        <v/>
      </c>
      <c r="I52" s="80" t="inlineStr">
        <is>
          <t>Cabo flexivel de cobre 2,5mm2 750V para alimentacao de tomadas, frigobar e CFTV. Preco/metro.</t>
        </is>
      </c>
      <c r="J52" s="81" t="inlineStr">
        <is>
          <t>https://www.leroymerlin.com.br/busca?term=cabo+flexivel+2-5mm</t>
        </is>
      </c>
    </row>
    <row r="53" ht="30.75" customHeight="1" s="39">
      <c r="A53" s="75" t="inlineStr">
        <is>
          <t>7.8</t>
        </is>
      </c>
      <c r="B53" s="76" t="inlineStr">
        <is>
          <t>PE-01 a PE-08</t>
        </is>
      </c>
      <c r="C53" s="67" t="inlineStr">
        <is>
          <t>CABO FLEXÍVEL DE COBRE 6 mm², 750 V, VERDE (PROTEÇÃO / EQUIPOTENCIALIZAÇÃO)</t>
        </is>
      </c>
      <c r="D53" s="50" t="n"/>
      <c r="E53" s="75" t="inlineStr">
        <is>
          <t>m</t>
        </is>
      </c>
      <c r="F53" s="82">
        <f>ROUND((6+0.5+0.5+1+1+2+1)*$F$85,1)</f>
        <v/>
      </c>
      <c r="G53" s="78" t="n">
        <v>7.5</v>
      </c>
      <c r="H53" s="79">
        <f>IF(G53="","",F53*G53)</f>
        <v/>
      </c>
      <c r="I53" s="80" t="inlineStr">
        <is>
          <t>Cabo flexivel de cobre 6mm2 750V verde/amarelo para equipotencializacao e aterramento. Preco/metro.</t>
        </is>
      </c>
      <c r="J53" s="81" t="inlineStr">
        <is>
          <t>https://www.leroymerlin.com.br/busca?term=cabo+flexivel+6mm+verde</t>
        </is>
      </c>
    </row>
    <row r="54" ht="21.75" customHeight="1" s="39">
      <c r="A54" s="72" t="n">
        <v>8</v>
      </c>
      <c r="B54" s="73" t="n"/>
      <c r="C54" s="74" t="inlineStr">
        <is>
          <t>ATERRAMENTO E EQUIPOTENCIALIZAÇÃO</t>
        </is>
      </c>
      <c r="D54" s="50" t="n"/>
      <c r="E54" s="73" t="n"/>
      <c r="F54" s="73" t="n"/>
      <c r="G54" s="73" t="n"/>
      <c r="H54" s="73" t="n"/>
      <c r="I54" s="73" t="n"/>
    </row>
    <row r="55" ht="30.75" customHeight="1" s="39">
      <c r="A55" s="75" t="inlineStr">
        <is>
          <t>8.1</t>
        </is>
      </c>
      <c r="B55" s="76" t="inlineStr">
        <is>
          <t>BEP-01</t>
        </is>
      </c>
      <c r="C55" s="67" t="inlineStr">
        <is>
          <t>BARRAMENTO PRINCIPAL DE EQUIPOTENCIALIZAÇÃO (PE) EM COBRE, &gt;= 8 FUROS</t>
        </is>
      </c>
      <c r="D55" s="50" t="n"/>
      <c r="E55" s="75" t="inlineStr">
        <is>
          <t>un</t>
        </is>
      </c>
      <c r="F55" s="77" t="n">
        <v>1</v>
      </c>
      <c r="G55" s="78" t="n">
        <v>75</v>
      </c>
      <c r="H55" s="79">
        <f>IF(G55="","",F55*G55)</f>
        <v/>
      </c>
      <c r="I55" s="80" t="inlineStr">
        <is>
          <t>Barramento BEP em cobre eletrolitico para aterramento com 8 bornes de pressao.</t>
        </is>
      </c>
      <c r="J55" s="81" t="inlineStr">
        <is>
          <t>https://lista.mercadolivre.com.br/barramento-equipotencializacao-bep</t>
        </is>
      </c>
    </row>
    <row r="56" ht="30.75" customHeight="1" s="39">
      <c r="A56" s="75" t="inlineStr">
        <is>
          <t>8.2</t>
        </is>
      </c>
      <c r="B56" s="76" t="inlineStr">
        <is>
          <t>EL-01</t>
        </is>
      </c>
      <c r="C56" s="67" t="inlineStr">
        <is>
          <t>ELETRODO DE ATERRAMENTO: HASTE COBREADA 5/8" x 2,4 m COM CONECTOR</t>
        </is>
      </c>
      <c r="D56" s="50" t="n"/>
      <c r="E56" s="75" t="inlineStr">
        <is>
          <t>un</t>
        </is>
      </c>
      <c r="F56" s="77" t="n">
        <v>1</v>
      </c>
      <c r="G56" s="78" t="n">
        <v>68</v>
      </c>
      <c r="H56" s="79">
        <f>IF(G56="","",F56*G56)</f>
        <v/>
      </c>
      <c r="I56" s="80" t="inlineStr">
        <is>
          <t>Haste de aterramento cobreada 5/8" x 2,4m de alta camada com grampo conector GTDU.</t>
        </is>
      </c>
      <c r="J56" s="81" t="inlineStr">
        <is>
          <t>https://www.leroymerlin.com.br/busca?term=haste+aterramento+5-8+2-4m</t>
        </is>
      </c>
    </row>
    <row r="57" ht="30.75" customHeight="1" s="39">
      <c r="A57" s="75" t="inlineStr">
        <is>
          <t>8.3</t>
        </is>
      </c>
      <c r="B57" s="76" t="inlineStr">
        <is>
          <t>MASSAS</t>
        </is>
      </c>
      <c r="C57" s="67" t="inlineStr">
        <is>
          <t>TERMINAIS E CONECTORES DE EQUIPOTENCIALIZAÇÃO PARA MASSAS METÁLICAS DA ESTAÇÃO (RACKS E BANCADAS)</t>
        </is>
      </c>
      <c r="D57" s="50" t="n"/>
      <c r="E57" s="75" t="inlineStr">
        <is>
          <t>conj</t>
        </is>
      </c>
      <c r="F57" s="77" t="n">
        <v>1</v>
      </c>
      <c r="G57" s="78" t="n">
        <v>80</v>
      </c>
      <c r="H57" s="79">
        <f>IF(G57="","",F57*G57)</f>
        <v/>
      </c>
      <c r="I57" s="80" t="inlineStr">
        <is>
          <t>Conjunto de conectores olhais, parafusos estojos e arruelas estrela para equipotencializacao das massas metalicas.</t>
        </is>
      </c>
      <c r="J57" s="81" t="inlineStr">
        <is>
          <t>https://lista.mercadolivre.com.br/kit-conector-olhal-equipotencializacao</t>
        </is>
      </c>
    </row>
    <row r="58" ht="21.75" customHeight="1" s="39">
      <c r="A58" s="72" t="n">
        <v>9</v>
      </c>
      <c r="B58" s="73" t="n"/>
      <c r="C58" s="74" t="inlineStr">
        <is>
          <t>CONEXÕES E ACESSÓRIOS (QUANTIDADES ESTIMADAS)</t>
        </is>
      </c>
      <c r="D58" s="50" t="n"/>
      <c r="E58" s="73" t="n"/>
      <c r="F58" s="73" t="n"/>
      <c r="G58" s="73" t="n"/>
      <c r="H58" s="73" t="n"/>
      <c r="I58" s="73" t="n"/>
    </row>
    <row r="59" ht="30.75" customHeight="1" s="39">
      <c r="A59" s="75" t="inlineStr">
        <is>
          <t>9.1</t>
        </is>
      </c>
      <c r="B59" s="76" t="n"/>
      <c r="C59" s="67" t="inlineStr">
        <is>
          <t>TERMINAL TUBULAR DE COMPRESSÃO PARA CABO 25 mm²</t>
        </is>
      </c>
      <c r="D59" s="50" t="n"/>
      <c r="E59" s="75" t="inlineStr">
        <is>
          <t>un</t>
        </is>
      </c>
      <c r="F59" s="77" t="n">
        <v>8</v>
      </c>
      <c r="G59" s="78" t="n">
        <v>3.5</v>
      </c>
      <c r="H59" s="79">
        <f>IF(G59="","",F59*G59)</f>
        <v/>
      </c>
      <c r="I59" s="80" t="inlineStr">
        <is>
          <t>Terminal tubular estanhado de compressao/ilhos para cabo de 25mm2.</t>
        </is>
      </c>
      <c r="J59" s="81" t="inlineStr">
        <is>
          <t>https://lista.mercadolivre.com.br/terminal-tubular-25mm</t>
        </is>
      </c>
    </row>
    <row r="60" ht="25.5" customHeight="1" s="39">
      <c r="A60" s="75" t="inlineStr">
        <is>
          <t>9.2</t>
        </is>
      </c>
      <c r="B60" s="76" t="n"/>
      <c r="C60" s="67" t="inlineStr">
        <is>
          <t>TERMINAL TUBULAR DE COMPRESSÃO PARA CABO 16 mm²</t>
        </is>
      </c>
      <c r="D60" s="50" t="n"/>
      <c r="E60" s="75" t="inlineStr">
        <is>
          <t>un</t>
        </is>
      </c>
      <c r="F60" s="77" t="n">
        <v>4</v>
      </c>
      <c r="G60" s="78" t="n">
        <v>2.5</v>
      </c>
      <c r="H60" s="79">
        <f>IF(G60="","",F60*G60)</f>
        <v/>
      </c>
      <c r="I60" s="80" t="inlineStr">
        <is>
          <t>Terminal tubular estanhado de compressao/ilhos para cabo de 16mm2.</t>
        </is>
      </c>
      <c r="J60" s="81" t="inlineStr">
        <is>
          <t>https://lista.mercadolivre.com.br/terminal-tubular-16mm</t>
        </is>
      </c>
    </row>
    <row r="61" ht="25.5" customHeight="1" s="39">
      <c r="A61" s="75" t="inlineStr">
        <is>
          <t>9.3</t>
        </is>
      </c>
      <c r="B61" s="76" t="n"/>
      <c r="C61" s="67" t="inlineStr">
        <is>
          <t>KIT DE TERMINAIS E PONTEIRAS PRÉ-ISOLADAS 1,5 A 6 mm²</t>
        </is>
      </c>
      <c r="D61" s="50" t="n"/>
      <c r="E61" s="75" t="inlineStr">
        <is>
          <t>conj</t>
        </is>
      </c>
      <c r="F61" s="77" t="n">
        <v>1</v>
      </c>
      <c r="G61" s="78" t="n">
        <v>45</v>
      </c>
      <c r="H61" s="79">
        <f>IF(G61="","",F61*G61)</f>
        <v/>
      </c>
      <c r="I61" s="80" t="inlineStr">
        <is>
          <t>Estojo organizado com 200 ponteiras e terminais pre-isolados (1,5mm2 a 6mm2).</t>
        </is>
      </c>
      <c r="J61" s="81" t="inlineStr">
        <is>
          <t>https://lista.mercadolivre.com.br/kit-terminais-eletricos-pre-isolados</t>
        </is>
      </c>
    </row>
    <row r="62" ht="30.75" customHeight="1" s="39">
      <c r="A62" s="75" t="inlineStr">
        <is>
          <t>9.4</t>
        </is>
      </c>
      <c r="B62" s="76" t="n"/>
      <c r="C62" s="67" t="inlineStr">
        <is>
          <t>PASSA-CABOS ESTANQUE IP67 PARA ENTRADA DOS CABOS SOLARES NO TETO DO FURGÃO</t>
        </is>
      </c>
      <c r="D62" s="50" t="n"/>
      <c r="E62" s="75" t="inlineStr">
        <is>
          <t>un</t>
        </is>
      </c>
      <c r="F62" s="77" t="n">
        <v>1</v>
      </c>
      <c r="G62" s="78" t="n">
        <v>52</v>
      </c>
      <c r="H62" s="79">
        <f>IF(G62="","",F62*G62)</f>
        <v/>
      </c>
      <c r="I62" s="80" t="inlineStr">
        <is>
          <t>Caixa passa-cabos estanque dupla em ABS com protecao UV e vedacao IP68 para teto veicular.</t>
        </is>
      </c>
      <c r="J62" s="81" t="inlineStr">
        <is>
          <t>https://lista.mercadolivre.com.br/passa-cabo-teto-motorhome-ip68</t>
        </is>
      </c>
    </row>
    <row r="63" ht="30.75" customHeight="1" s="39">
      <c r="A63" s="75" t="inlineStr">
        <is>
          <t>9.5</t>
        </is>
      </c>
      <c r="B63" s="76" t="n"/>
      <c r="C63" s="67" t="inlineStr">
        <is>
          <t>ELETRODUTO FLEXÍVEL CORRUGADO 3/4" - CIRCUITOS CC (CB-01 A CB-09)</t>
        </is>
      </c>
      <c r="D63" s="50" t="n"/>
      <c r="E63" s="75" t="inlineStr">
        <is>
          <t>m</t>
        </is>
      </c>
      <c r="F63" s="82">
        <f>ROUND((6+0.5+0.6+0.8+0.6+1.5+0.5)*$F$85,1)</f>
        <v/>
      </c>
      <c r="G63" s="78" t="n">
        <v>2.2</v>
      </c>
      <c r="H63" s="79">
        <f>IF(G63="","",F63*G63)</f>
        <v/>
      </c>
      <c r="I63" s="80" t="inlineStr">
        <is>
          <t>Eletroduto flexivel corrugado 3/4" antichama para roteamento dos circuitos CC. Preco/metro.</t>
        </is>
      </c>
      <c r="J63" s="81" t="inlineStr">
        <is>
          <t>https://www.leroymerlin.com.br/busca?term=eletroduto+corrugado+amarelo+3-4</t>
        </is>
      </c>
    </row>
    <row r="64" ht="30.75" customHeight="1" s="39">
      <c r="A64" s="75" t="inlineStr">
        <is>
          <t>9.6</t>
        </is>
      </c>
      <c r="B64" s="76" t="n"/>
      <c r="C64" s="67" t="inlineStr">
        <is>
          <t>ELETRODUTO FLEXÍVEL CORRUGADO 3/4" - CIRCUITOS CA (CB-07 E CB-11 A CB-16)</t>
        </is>
      </c>
      <c r="D64" s="50" t="n"/>
      <c r="E64" s="75" t="inlineStr">
        <is>
          <t>m</t>
        </is>
      </c>
      <c r="F64" s="82">
        <f>ROUND((1+5+6+3+2.5+1.5+1.5)*$F$85,1)</f>
        <v/>
      </c>
      <c r="G64" s="78" t="n">
        <v>2.2</v>
      </c>
      <c r="H64" s="79">
        <f>IF(G64="","",F64*G64)</f>
        <v/>
      </c>
      <c r="I64" s="80" t="inlineStr">
        <is>
          <t>Eletroduto flexivel corrugado 3/4" antichama para roteamento dos circuitos CA. Preco/metro.</t>
        </is>
      </c>
      <c r="J64" s="81" t="inlineStr">
        <is>
          <t>https://www.leroymerlin.com.br/busca?term=eletroduto+corrugado+amarelo+3-4</t>
        </is>
      </c>
    </row>
    <row r="65" ht="25.5" customHeight="1" s="39">
      <c r="A65" s="75" t="inlineStr">
        <is>
          <t>9.7</t>
        </is>
      </c>
      <c r="B65" s="76" t="n"/>
      <c r="C65" s="67" t="inlineStr">
        <is>
          <t>TOMADA 2P+T 10 A / 250 V (NOTEBOOKS)</t>
        </is>
      </c>
      <c r="D65" s="50" t="n"/>
      <c r="E65" s="75" t="inlineStr">
        <is>
          <t>un</t>
        </is>
      </c>
      <c r="F65" s="77" t="n">
        <v>2</v>
      </c>
      <c r="G65" s="78" t="n">
        <v>16</v>
      </c>
      <c r="H65" s="79">
        <f>IF(G65="","",F65*G65)</f>
        <v/>
      </c>
      <c r="I65" s="80" t="inlineStr">
        <is>
          <t>Conjunto de tomada de sobrepor 2P+T 10A / 250V padrao brasileiro NBR 14136.</t>
        </is>
      </c>
      <c r="J65" s="81" t="inlineStr">
        <is>
          <t>https://www.leroymerlin.com.br/busca?term=tomada+2p+t+10a+tramontina</t>
        </is>
      </c>
    </row>
    <row r="66" ht="25.5" customHeight="1" s="39">
      <c r="A66" s="75" t="inlineStr">
        <is>
          <t>9.8</t>
        </is>
      </c>
      <c r="B66" s="76" t="n"/>
      <c r="C66" s="67" t="inlineStr">
        <is>
          <t>ABRAÇADEIRAS DE NYLON, FITA ISOLANTE E FIXADORES (KIT)</t>
        </is>
      </c>
      <c r="D66" s="50" t="n"/>
      <c r="E66" s="75" t="inlineStr">
        <is>
          <t>vb</t>
        </is>
      </c>
      <c r="F66" s="77" t="n">
        <v>1</v>
      </c>
      <c r="G66" s="78" t="n">
        <v>45</v>
      </c>
      <c r="H66" s="79">
        <f>IF(G66="","",F66*G66)</f>
        <v/>
      </c>
      <c r="I66" s="80" t="inlineStr">
        <is>
          <t>Kit consumiveis de instalacao: abracaideras plasticas UV, fita isolante 3M e fixadores auto-adesivos.</t>
        </is>
      </c>
      <c r="J66" s="81" t="inlineStr">
        <is>
          <t>https://lista.mercadolivre.com.br/kit-abracadeiras-nylon-fita-isolante-3m</t>
        </is>
      </c>
    </row>
    <row r="67" ht="30.75" customHeight="1" s="39">
      <c r="A67" s="75" t="inlineStr">
        <is>
          <t>9.9</t>
        </is>
      </c>
      <c r="B67" s="76" t="n"/>
      <c r="C67" s="67" t="inlineStr">
        <is>
          <t>ETIQUETAS DE IDENTIFICAÇÃO DE CABOS E DISPOSITIVOS CONFORME TAGS DO UNIFILAR</t>
        </is>
      </c>
      <c r="D67" s="50" t="n"/>
      <c r="E67" s="75" t="inlineStr">
        <is>
          <t>conj</t>
        </is>
      </c>
      <c r="F67" s="77" t="n">
        <v>1</v>
      </c>
      <c r="G67" s="78" t="n">
        <v>35</v>
      </c>
      <c r="H67" s="79">
        <f>IF(G67="","",F67*G67)</f>
        <v/>
      </c>
      <c r="I67" s="80" t="inlineStr">
        <is>
          <t>Conjunto de anilhas identificadoras e etiquetas termotransferíveis para cabos conforme tags do unifilar.</t>
        </is>
      </c>
      <c r="J67" s="81" t="inlineStr">
        <is>
          <t>https://lista.mercadolivre.com.br/anilha-marcador-cabos-identificacao</t>
        </is>
      </c>
    </row>
    <row r="68" ht="21.75" customHeight="1" s="39">
      <c r="A68" s="72" t="n">
        <v>10</v>
      </c>
      <c r="B68" s="73" t="n"/>
      <c r="C68" s="74" t="inlineStr">
        <is>
          <t>CARGAS ALIMENTADAS (REFERÊNCIA - FORNECIMENTO A CONFIRMAR)</t>
        </is>
      </c>
      <c r="D68" s="50" t="n"/>
      <c r="E68" s="73" t="n"/>
      <c r="F68" s="73" t="n"/>
      <c r="G68" s="73" t="n"/>
      <c r="H68" s="73" t="n"/>
      <c r="I68" s="73" t="n"/>
    </row>
    <row r="69" ht="25.5" customHeight="1" s="39">
      <c r="A69" s="75" t="inlineStr">
        <is>
          <t>10.1</t>
        </is>
      </c>
      <c r="B69" s="76" t="inlineStr">
        <is>
          <t>C1</t>
        </is>
      </c>
      <c r="C69" s="67" t="inlineStr">
        <is>
          <t>LUMINÁRIA LED INTERNA, 10 W</t>
        </is>
      </c>
      <c r="D69" s="50" t="n"/>
      <c r="E69" s="75" t="inlineStr">
        <is>
          <t>un</t>
        </is>
      </c>
      <c r="F69" s="77" t="n">
        <v>4</v>
      </c>
      <c r="G69" s="78" t="n">
        <v>25</v>
      </c>
      <c r="H69" s="79">
        <f>IF(G69="","",F69*G69)</f>
        <v/>
      </c>
      <c r="I69" s="80" t="inlineStr">
        <is>
          <t>Carga de referencia: Luminaria LED de sobrepor 10W bivolt para salao interno.</t>
        </is>
      </c>
      <c r="J69" s="81" t="inlineStr">
        <is>
          <t>https://www.leroymerlin.com.br/busca?term=luminaria+led+10w</t>
        </is>
      </c>
    </row>
    <row r="70" ht="25.5" customHeight="1" s="39">
      <c r="A70" s="75" t="inlineStr">
        <is>
          <t>10.2</t>
        </is>
      </c>
      <c r="B70" s="76" t="inlineStr">
        <is>
          <t>C2</t>
        </is>
      </c>
      <c r="C70" s="67" t="inlineStr">
        <is>
          <t>LUMINÁRIA LED EXTERNA, 15 W</t>
        </is>
      </c>
      <c r="D70" s="50" t="n"/>
      <c r="E70" s="75" t="inlineStr">
        <is>
          <t>un</t>
        </is>
      </c>
      <c r="F70" s="77" t="n">
        <v>2</v>
      </c>
      <c r="G70" s="78" t="n">
        <v>35</v>
      </c>
      <c r="H70" s="79">
        <f>IF(G70="","",F70*G70)</f>
        <v/>
      </c>
      <c r="I70" s="80" t="inlineStr">
        <is>
          <t>Carga de referencia: Refletor LED externo perimetral 15W IP66.</t>
        </is>
      </c>
      <c r="J70" s="81" t="inlineStr">
        <is>
          <t>https://www.leroymerlin.com.br/busca?term=refletor+led+15w</t>
        </is>
      </c>
    </row>
    <row r="71" ht="25.5" customHeight="1" s="39">
      <c r="A71" s="75" t="inlineStr">
        <is>
          <t>10.3</t>
        </is>
      </c>
      <c r="B71" s="76" t="inlineStr">
        <is>
          <t>C3</t>
        </is>
      </c>
      <c r="C71" s="67" t="inlineStr">
        <is>
          <t>NOTEBOOK, 65 W (EQUIPAMENTO DO USUÁRIO)</t>
        </is>
      </c>
      <c r="D71" s="50" t="n"/>
      <c r="E71" s="75" t="inlineStr">
        <is>
          <t>un</t>
        </is>
      </c>
      <c r="F71" s="77" t="n">
        <v>2</v>
      </c>
      <c r="G71" s="78" t="n">
        <v>3200</v>
      </c>
      <c r="H71" s="79">
        <f>IF(G71="","",F71*G71)</f>
        <v/>
      </c>
      <c r="I71" s="80" t="inlineStr">
        <is>
          <t>Carga de referencia PMMG (equipamento do usuario): Notebook operacional corporativo Core i5 / 16GB / SSD.</t>
        </is>
      </c>
      <c r="J71" s="81" t="inlineStr">
        <is>
          <t>https://lista.mercadolivre.com.br/notebook-intel-core-i5</t>
        </is>
      </c>
    </row>
    <row r="72" ht="25.5" customHeight="1" s="39">
      <c r="A72" s="75" t="inlineStr">
        <is>
          <t>10.4</t>
        </is>
      </c>
      <c r="B72" s="76" t="inlineStr">
        <is>
          <t>C4</t>
        </is>
      </c>
      <c r="C72" s="67" t="inlineStr">
        <is>
          <t>FRIGOBAR PEQUENO, 100 W</t>
        </is>
      </c>
      <c r="D72" s="50" t="n"/>
      <c r="E72" s="75" t="inlineStr">
        <is>
          <t>un</t>
        </is>
      </c>
      <c r="F72" s="77" t="n">
        <v>1</v>
      </c>
      <c r="G72" s="78" t="n">
        <v>850</v>
      </c>
      <c r="H72" s="79">
        <f>IF(G72="","",F72*G72)</f>
        <v/>
      </c>
      <c r="I72" s="80" t="inlineStr">
        <is>
          <t>Carga de referencia: Frigobar compacto 71L a 93L 127V (Midea / Consul / Electrolux).</t>
        </is>
      </c>
      <c r="J72" s="81" t="inlineStr">
        <is>
          <t>https://lista.mercadolivre.com.br/frigobar-pequeno-127v</t>
        </is>
      </c>
    </row>
    <row r="73" ht="25.5" customHeight="1" s="39">
      <c r="A73" s="75" t="inlineStr">
        <is>
          <t>10.5</t>
        </is>
      </c>
      <c r="B73" s="76" t="inlineStr">
        <is>
          <t>C5</t>
        </is>
      </c>
      <c r="C73" s="67" t="inlineStr">
        <is>
          <t>GRAVADOR NVR/DVR, 25 W</t>
        </is>
      </c>
      <c r="D73" s="50" t="n"/>
      <c r="E73" s="75" t="inlineStr">
        <is>
          <t>un</t>
        </is>
      </c>
      <c r="F73" s="77" t="n">
        <v>1</v>
      </c>
      <c r="G73" s="78" t="n">
        <v>450</v>
      </c>
      <c r="H73" s="79">
        <f>IF(G73="","",F73*G73)</f>
        <v/>
      </c>
      <c r="I73" s="80" t="inlineStr">
        <is>
          <t>Carga de referencia: Gravador digital NVR/DVR Intelbras MHDX Multi-HD 8 canais.</t>
        </is>
      </c>
      <c r="J73" s="81" t="inlineStr">
        <is>
          <t>https://lista.mercadolivre.com.br/dvr-intelbras-mhdx</t>
        </is>
      </c>
    </row>
    <row r="74" ht="25.5" customHeight="1" s="39">
      <c r="A74" s="75" t="inlineStr">
        <is>
          <t>10.6</t>
        </is>
      </c>
      <c r="B74" s="76" t="inlineStr">
        <is>
          <t>C5</t>
        </is>
      </c>
      <c r="C74" s="67" t="inlineStr">
        <is>
          <t>ROTEADOR / SISTEMA WI-FI, 20 W</t>
        </is>
      </c>
      <c r="D74" s="50" t="n"/>
      <c r="E74" s="75" t="inlineStr">
        <is>
          <t>un</t>
        </is>
      </c>
      <c r="F74" s="77" t="n">
        <v>1</v>
      </c>
      <c r="G74" s="78" t="n">
        <v>180</v>
      </c>
      <c r="H74" s="79">
        <f>IF(G74="","",F74*G74)</f>
        <v/>
      </c>
      <c r="I74" s="80" t="inlineStr">
        <is>
          <t>Carga de referencia: Roteador Wi-Fi Gigabit Dual Band corporativo policial (Intelbras / TP-Link).</t>
        </is>
      </c>
      <c r="J74" s="81" t="inlineStr">
        <is>
          <t>https://lista.mercadolivre.com.br/roteador-intelbras-wi-fi</t>
        </is>
      </c>
    </row>
    <row r="75" ht="25.5" customHeight="1" s="39">
      <c r="A75" s="75" t="inlineStr">
        <is>
          <t>10.7</t>
        </is>
      </c>
      <c r="B75" s="76" t="inlineStr">
        <is>
          <t>C6</t>
        </is>
      </c>
      <c r="C75" s="67" t="inlineStr">
        <is>
          <t>CÂMERA DE CFTV PoE, 8 W</t>
        </is>
      </c>
      <c r="D75" s="50" t="n"/>
      <c r="E75" s="75" t="inlineStr">
        <is>
          <t>un</t>
        </is>
      </c>
      <c r="F75" s="77" t="n">
        <v>6</v>
      </c>
      <c r="G75" s="78" t="n">
        <v>230</v>
      </c>
      <c r="H75" s="79">
        <f>IF(G75="","",F75*G75)</f>
        <v/>
      </c>
      <c r="I75" s="80" t="inlineStr">
        <is>
          <t>Carga de referencia: Camera de CFTV IP Dome/Bullet PoE Full HD Intelbras VIP 1230.</t>
        </is>
      </c>
      <c r="J75" s="81" t="inlineStr">
        <is>
          <t>https://lista.mercadolivre.com.br/camera-intelbras-poe</t>
        </is>
      </c>
    </row>
    <row r="76" ht="25.5" customHeight="1" s="39">
      <c r="A76" s="75" t="inlineStr">
        <is>
          <t>10.8</t>
        </is>
      </c>
      <c r="B76" s="76" t="inlineStr">
        <is>
          <t>C6</t>
        </is>
      </c>
      <c r="C76" s="67" t="inlineStr">
        <is>
          <t>SWITCH PoE, ORÇAMENTO PoE &gt;= 48 W</t>
        </is>
      </c>
      <c r="D76" s="50" t="n"/>
      <c r="E76" s="75" t="inlineStr">
        <is>
          <t>un</t>
        </is>
      </c>
      <c r="F76" s="77" t="n">
        <v>1</v>
      </c>
      <c r="G76" s="78" t="n">
        <v>380</v>
      </c>
      <c r="H76" s="79">
        <f>IF(G76="","",F76*G76)</f>
        <v/>
      </c>
      <c r="I76" s="80" t="inlineStr">
        <is>
          <t>Carga de referencia: Switch Fast Ethernet 8 portas PoE Intelbras SF 900 PoE (orcamento PoE &gt;= 48W).</t>
        </is>
      </c>
      <c r="J76" s="81" t="inlineStr">
        <is>
          <t>https://lista.mercadolivre.com.br/switch-poe-intelbras</t>
        </is>
      </c>
    </row>
    <row r="77" ht="21.75" customHeight="1" s="39">
      <c r="A77" s="83" t="inlineStr">
        <is>
          <t>TOTAL GERAL DA PLANILHA (SISTEMA SOLAR + CARGAS DE REFERENCIA)</t>
        </is>
      </c>
      <c r="B77" s="49" t="n"/>
      <c r="C77" s="49" t="n"/>
      <c r="D77" s="49" t="n"/>
      <c r="E77" s="49" t="n"/>
      <c r="F77" s="49" t="n"/>
      <c r="G77" s="50" t="n"/>
      <c r="H77" s="84">
        <f>SUM(H10:H76)</f>
        <v/>
      </c>
      <c r="I77" s="85" t="n"/>
    </row>
    <row r="79" ht="15" customHeight="1" s="39">
      <c r="A79" s="86" t="inlineStr">
        <is>
          <t>PREMISSAS E LEGENDA</t>
        </is>
      </c>
    </row>
    <row r="80" ht="15" customHeight="1" s="39">
      <c r="A80" s="87" t="inlineStr">
        <is>
          <t>Células amarelas (VALOR UNITÁRIO e fator de reserva): preencher/editar. VALOR TOTAL = QTD x VALOR UNITÁRIO.</t>
        </is>
      </c>
    </row>
    <row r="81" ht="15" customHeight="1" s="39">
      <c r="A81" s="87" t="inlineStr">
        <is>
          <t>Quantidades de cabos = comprimento de ida do unifilar x nº de condutores x fator de reserva; comprimentos estimados para o furgão Ducato L4H2 (compartimento 3.745 x 1.960 x 1.881 mm).</t>
        </is>
      </c>
    </row>
    <row r="82" ht="15" customHeight="1" s="39">
      <c r="A82" s="87" t="inlineStr">
        <is>
          <t>Valores de proteção e seções marcados como "a definir" dependem da validação do arranjo fotovoltaico, do MPPT e dos manuais dos fabricantes (ver nota geral do unifilar).</t>
        </is>
      </c>
    </row>
    <row r="83" ht="15" customHeight="1" s="39">
      <c r="A83" s="87" t="inlineStr">
        <is>
          <t>Origem: Diagrama Unifilar A3 - Estação Fotovoltaica Off-Grid (R0) e Levantamento de Cargas da Estação Off-Grid.</t>
        </is>
      </c>
    </row>
    <row r="85" ht="18" customHeight="1" s="39">
      <c r="C85" s="88" t="inlineStr">
        <is>
          <t>Fator de reserva de cabos e eletrodutos</t>
        </is>
      </c>
      <c r="D85" s="49" t="n"/>
      <c r="E85" s="50" t="n"/>
      <c r="F85" s="89" t="n">
        <v>1.1</v>
      </c>
    </row>
    <row r="87">
      <c r="A87" s="90" t="inlineStr">
        <is>
          <t>QUADRO RESUMO DE INVESTIMENTO E CENARIOS DE CAPEX (LEI 14.133 / STELLANTIS)</t>
        </is>
      </c>
    </row>
    <row r="88">
      <c r="A88" s="91" t="inlineStr">
        <is>
          <t>1. INVESTIMENTO NO SISTEMA SOLAR &amp; INFRAESTRUTURA ELETRICA (ITENS 1 A 9)</t>
        </is>
      </c>
      <c r="H88" s="92">
        <f>SUM(H10:H67)</f>
        <v/>
      </c>
      <c r="I88" s="93" t="inlineStr">
        <is>
          <t>Capex real Amper Code com aproveitamento da bateria 48V nativa do Ducato (R$ 0 na linha 3.1).</t>
        </is>
      </c>
    </row>
    <row r="89">
      <c r="A89" s="94" t="inlineStr">
        <is>
          <t>2. CARGAS OPERACIONAIS / TI EMBARCADAS PMMG (ITEM 10 - REFERENCIA)</t>
        </is>
      </c>
      <c r="H89" s="95">
        <f>SUM(H68:H76)</f>
        <v/>
      </c>
      <c r="I89" s="93" t="inlineStr">
        <is>
          <t>Equipamentos policiais e informatica pre-existentes/fornecidos pela corporacao.</t>
        </is>
      </c>
    </row>
    <row r="90">
      <c r="A90" s="96" t="inlineStr">
        <is>
          <t>3. TOTAL GERAL DO PROJETO CONSOLIDADO (SISTEMA SOLAR + CARGAS)</t>
        </is>
      </c>
      <c r="H90" s="97">
        <f>H88+H89</f>
        <v/>
      </c>
      <c r="I90" s="93" t="inlineStr">
        <is>
          <t>Custo turn-key completo incluindo compras de notebooks, frigobar e switch novos.</t>
        </is>
      </c>
    </row>
    <row r="91">
      <c r="A91" s="96" t="inlineStr">
        <is>
          <t>4. CENARIO B: SISTEMA SOLAR CASO SE ADQUIRA BANCO LiFePO4 NOVO (R$ 5.500)</t>
        </is>
      </c>
      <c r="H91" s="97">
        <f>H88+5500</f>
        <v/>
      </c>
      <c r="I91" s="93" t="inlineStr">
        <is>
          <t>Custo solar caso a viatura nao disponibilize a bateria de litio original de fabrica.</t>
        </is>
      </c>
    </row>
  </sheetData>
  <mergeCells count="89">
    <mergeCell ref="C62:D62"/>
    <mergeCell ref="C15:D15"/>
    <mergeCell ref="C64:D64"/>
    <mergeCell ref="C73:D73"/>
    <mergeCell ref="C54:D54"/>
    <mergeCell ref="C63:D63"/>
    <mergeCell ref="C41:D41"/>
    <mergeCell ref="G1:I3"/>
    <mergeCell ref="C50:D50"/>
    <mergeCell ref="C56:D56"/>
    <mergeCell ref="C43:D43"/>
    <mergeCell ref="C27:D27"/>
    <mergeCell ref="C76:D76"/>
    <mergeCell ref="C36:D36"/>
    <mergeCell ref="C17:D17"/>
    <mergeCell ref="A89:G89"/>
    <mergeCell ref="C67:D67"/>
    <mergeCell ref="C1:F3"/>
    <mergeCell ref="C19:D19"/>
    <mergeCell ref="C28:D28"/>
    <mergeCell ref="A79:I79"/>
    <mergeCell ref="C69:D69"/>
    <mergeCell ref="C85:E85"/>
    <mergeCell ref="C30:D30"/>
    <mergeCell ref="A91:G91"/>
    <mergeCell ref="C14:D14"/>
    <mergeCell ref="C45:D45"/>
    <mergeCell ref="A1:B3"/>
    <mergeCell ref="C47:D47"/>
    <mergeCell ref="G7:H7"/>
    <mergeCell ref="A77:G77"/>
    <mergeCell ref="A8:I8"/>
    <mergeCell ref="C40:D40"/>
    <mergeCell ref="C60:D60"/>
    <mergeCell ref="C71:D71"/>
    <mergeCell ref="A83:I83"/>
    <mergeCell ref="C57:D57"/>
    <mergeCell ref="C66:D66"/>
    <mergeCell ref="C18:D18"/>
    <mergeCell ref="C53:D53"/>
    <mergeCell ref="C34:D34"/>
    <mergeCell ref="C68:D68"/>
    <mergeCell ref="C58:D58"/>
    <mergeCell ref="A4:F7"/>
    <mergeCell ref="A80:I80"/>
    <mergeCell ref="C20:D20"/>
    <mergeCell ref="C29:D29"/>
    <mergeCell ref="C65:D65"/>
    <mergeCell ref="C44:D44"/>
    <mergeCell ref="C75:D75"/>
    <mergeCell ref="C22:D22"/>
    <mergeCell ref="C31:D31"/>
    <mergeCell ref="C59:D59"/>
    <mergeCell ref="C12:D12"/>
    <mergeCell ref="C46:D46"/>
    <mergeCell ref="C21:D21"/>
    <mergeCell ref="C51:D51"/>
    <mergeCell ref="C61:D61"/>
    <mergeCell ref="C70:D70"/>
    <mergeCell ref="C48:D48"/>
    <mergeCell ref="C23:D23"/>
    <mergeCell ref="A82:I82"/>
    <mergeCell ref="C32:D32"/>
    <mergeCell ref="C38:D38"/>
    <mergeCell ref="C49:D49"/>
    <mergeCell ref="C24:D24"/>
    <mergeCell ref="C33:D33"/>
    <mergeCell ref="C42:D42"/>
    <mergeCell ref="C74:D74"/>
    <mergeCell ref="C26:D26"/>
    <mergeCell ref="C35:D35"/>
    <mergeCell ref="C10:D10"/>
    <mergeCell ref="C16:D16"/>
    <mergeCell ref="C25:D25"/>
    <mergeCell ref="C55:D55"/>
    <mergeCell ref="G6:H6"/>
    <mergeCell ref="C9:D9"/>
    <mergeCell ref="A81:I81"/>
    <mergeCell ref="A88:G88"/>
    <mergeCell ref="C11:D11"/>
    <mergeCell ref="G5:H5"/>
    <mergeCell ref="A87:J87"/>
    <mergeCell ref="C52:D52"/>
    <mergeCell ref="A90:G90"/>
    <mergeCell ref="C39:D39"/>
    <mergeCell ref="G4:H4"/>
    <mergeCell ref="C72:D72"/>
    <mergeCell ref="C37:D37"/>
    <mergeCell ref="C13:D13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8" customWidth="1" style="39" min="1" max="1"/>
    <col width="14" customWidth="1" style="39" min="2" max="2"/>
    <col width="38" customWidth="1" style="39" min="3" max="3"/>
    <col width="8" customWidth="1" style="39" min="4" max="4"/>
    <col width="25" customWidth="1" style="39" min="5" max="5"/>
    <col width="14" customWidth="1" style="39" min="6" max="6"/>
    <col width="25" customWidth="1" style="39" min="7" max="7"/>
    <col width="14" customWidth="1" style="39" min="8" max="8"/>
    <col width="25" customWidth="1" style="39" min="9" max="9"/>
    <col width="14" customWidth="1" style="39" min="10" max="10"/>
    <col width="15" customWidth="1" style="39" min="11" max="11"/>
    <col width="18" customWidth="1" style="39" min="12" max="12"/>
  </cols>
  <sheetData>
    <row r="1">
      <c r="A1" s="98" t="inlineStr">
        <is>
          <t>MAPA DE COTACOES DE MERCADO - BASE COMUNITARIA PMMG (STELLANTIS)
CONFORMIDADE COM A LEI FEDERAL No 14.133/2021 (NOVA LEI DE LICITACOES) - 3 COTACOES VALIDAS</t>
        </is>
      </c>
    </row>
    <row r="2"/>
    <row r="4" ht="28" customHeight="1" s="39">
      <c r="A4" s="99" t="inlineStr">
        <is>
          <t>ITEM</t>
        </is>
      </c>
      <c r="B4" s="99" t="inlineStr">
        <is>
          <t>TAG</t>
        </is>
      </c>
      <c r="C4" s="99" t="inlineStr">
        <is>
          <t>DESCRICAO DO COMPONENTE</t>
        </is>
      </c>
      <c r="D4" s="99" t="inlineStr">
        <is>
          <t>UNID</t>
        </is>
      </c>
      <c r="E4" s="99" t="inlineStr">
        <is>
          <t>FORNECEDOR 1 (COT. A)</t>
        </is>
      </c>
      <c r="F4" s="99" t="inlineStr">
        <is>
          <t>PRECO 1 (R$)</t>
        </is>
      </c>
      <c r="G4" s="99" t="inlineStr">
        <is>
          <t>FORNECEDOR 2 (COT. B)</t>
        </is>
      </c>
      <c r="H4" s="99" t="inlineStr">
        <is>
          <t>PRECO 2 (R$)</t>
        </is>
      </c>
      <c r="I4" s="99" t="inlineStr">
        <is>
          <t>FORNECEDOR 3 (COT. C)</t>
        </is>
      </c>
      <c r="J4" s="99" t="inlineStr">
        <is>
          <t>PRECO 3 (R$)</t>
        </is>
      </c>
      <c r="K4" s="99" t="inlineStr">
        <is>
          <t>PRECO MEDIO (R$)</t>
        </is>
      </c>
      <c r="L4" s="99" t="inlineStr">
        <is>
          <t>MENOR PRECO ADOTADO (R$)</t>
        </is>
      </c>
    </row>
    <row r="5">
      <c r="A5" t="inlineStr">
        <is>
          <t>1.1</t>
        </is>
      </c>
      <c r="B5" t="inlineStr">
        <is>
          <t>PV1 a PV3</t>
        </is>
      </c>
      <c r="C5" t="inlineStr">
        <is>
          <t>MÓDULO FOTOVOLTAICO ZTROON ZTP-310MI, 310 Wp, MONOCRISTALINO, 60 CÉLULAS (Vmp 34,63 V; Imp 8,95 A; Voc 40,5 V; Isc 9,43 A), 1650x880x30 mm</t>
        </is>
      </c>
      <c r="D5" t="inlineStr">
        <is>
          <t>un</t>
        </is>
      </c>
      <c r="E5" t="inlineStr">
        <is>
          <t>Mercado Livre (Ztroon Oficial)</t>
        </is>
      </c>
      <c r="F5" s="100" t="n">
        <v>459.9</v>
      </c>
      <c r="G5" t="inlineStr">
        <is>
          <t>Neosolar Energia</t>
        </is>
      </c>
      <c r="H5" s="100" t="n">
        <v>489</v>
      </c>
      <c r="I5" t="inlineStr">
        <is>
          <t>Leroy Merlin BH</t>
        </is>
      </c>
      <c r="J5" s="100" t="n">
        <v>499</v>
      </c>
      <c r="K5" s="100" t="n">
        <v>482.6333333333334</v>
      </c>
      <c r="L5" s="92" t="n">
        <v>460</v>
      </c>
    </row>
    <row r="6">
      <c r="A6" t="inlineStr">
        <is>
          <t>1.2</t>
        </is>
      </c>
      <c r="B6" t="inlineStr">
        <is>
          <t>EST-PV</t>
        </is>
      </c>
      <c r="C6" t="inlineStr">
        <is>
          <t>ESTRUTURA/KIT DE FIXAÇÃO DOS MÓDULOS NO TETO DO FURGÃO, EM ALUMÍNIO, COM VEDAÇÃO E ATERRAMENTO DA ESTRUTURA</t>
        </is>
      </c>
      <c r="D6" t="inlineStr">
        <is>
          <t>conj</t>
        </is>
      </c>
      <c r="E6" t="inlineStr">
        <is>
          <t>Mercado Livre (Kit 12 Suportes Z)</t>
        </is>
      </c>
      <c r="F6" s="100" t="n">
        <v>175</v>
      </c>
      <c r="G6" t="inlineStr">
        <is>
          <t>Neosolar Estruturas</t>
        </is>
      </c>
      <c r="H6" s="100" t="n">
        <v>195</v>
      </c>
      <c r="I6" t="inlineStr">
        <is>
          <t>Leroy Merlin BH</t>
        </is>
      </c>
      <c r="J6" s="100" t="n">
        <v>210</v>
      </c>
      <c r="K6" s="100" t="n">
        <v>193.3333333333333</v>
      </c>
      <c r="L6" s="92" t="n">
        <v>180</v>
      </c>
    </row>
    <row r="7">
      <c r="A7" t="inlineStr">
        <is>
          <t>1.3</t>
        </is>
      </c>
      <c r="B7" t="inlineStr">
        <is>
          <t>X1</t>
        </is>
      </c>
      <c r="C7" t="inlineStr">
        <is>
          <t>CONECTOR FOTOVOLTAICO MC4 (PAR MACHO/FÊMEA) PARA CABO SOLAR 4 mm²</t>
        </is>
      </c>
      <c r="D7" t="inlineStr">
        <is>
          <t>par</t>
        </is>
      </c>
      <c r="E7" t="inlineStr">
        <is>
          <t>Mercado Livre (Par MC4)</t>
        </is>
      </c>
      <c r="F7" s="100" t="n">
        <v>13.5</v>
      </c>
      <c r="G7" t="inlineStr">
        <is>
          <t>Loja Clamper (Sete Lagoas/MG)</t>
        </is>
      </c>
      <c r="H7" s="100" t="n">
        <v>15</v>
      </c>
      <c r="I7" t="inlineStr">
        <is>
          <t>Neosolar Conectores</t>
        </is>
      </c>
      <c r="J7" s="100" t="n">
        <v>14.9</v>
      </c>
      <c r="K7" s="100" t="n">
        <v>14.46666666666667</v>
      </c>
      <c r="L7" s="92" t="n">
        <v>14</v>
      </c>
    </row>
    <row r="8">
      <c r="A8" t="inlineStr">
        <is>
          <t>1.4</t>
        </is>
      </c>
      <c r="B8" t="inlineStr">
        <is>
          <t>QFV-01</t>
        </is>
      </c>
      <c r="C8" t="inlineStr">
        <is>
          <t>QUADRO CC FOTOVOLTAICO EM CAIXA DE POLICARBONATO IP65, COM TRILHO DIN</t>
        </is>
      </c>
      <c r="D8" t="inlineStr">
        <is>
          <t>un</t>
        </is>
      </c>
      <c r="E8" t="inlineStr">
        <is>
          <t>Mercado Livre (Quadro IP65)</t>
        </is>
      </c>
      <c r="F8" s="100" t="n">
        <v>79.90000000000001</v>
      </c>
      <c r="G8" t="inlineStr">
        <is>
          <t>Santil Materiais Eletricos</t>
        </is>
      </c>
      <c r="H8" s="100" t="n">
        <v>88.5</v>
      </c>
      <c r="I8" t="inlineStr">
        <is>
          <t>Leroy Merlin BH</t>
        </is>
      </c>
      <c r="J8" s="100" t="n">
        <v>92</v>
      </c>
      <c r="K8" s="100" t="n">
        <v>86.8</v>
      </c>
      <c r="L8" s="92" t="n">
        <v>85</v>
      </c>
    </row>
    <row r="9">
      <c r="A9" t="inlineStr">
        <is>
          <t>1.5</t>
        </is>
      </c>
      <c r="B9" t="inlineStr">
        <is>
          <t>Q-FV1</t>
        </is>
      </c>
      <c r="C9" t="inlineStr">
        <is>
          <t>DISJUNTOR/SECCIONADOR CC BIPOLAR 16 A, TENSÃO NOMINAL CC &gt;= Voc DO ARRANJO</t>
        </is>
      </c>
      <c r="D9" t="inlineStr">
        <is>
          <t>un</t>
        </is>
      </c>
      <c r="E9" t="inlineStr">
        <is>
          <t>Mercado Livre (Tomzn/Boos 16A CC)</t>
        </is>
      </c>
      <c r="F9" s="100" t="n">
        <v>52</v>
      </c>
      <c r="G9" t="inlineStr">
        <is>
          <t>Neosolar Componentes CC</t>
        </is>
      </c>
      <c r="H9" s="100" t="n">
        <v>58</v>
      </c>
      <c r="I9" t="inlineStr">
        <is>
          <t>Santil Materiais Eletricos</t>
        </is>
      </c>
      <c r="J9" s="100" t="n">
        <v>62</v>
      </c>
      <c r="K9" s="100" t="n">
        <v>57.33333333333334</v>
      </c>
      <c r="L9" s="92" t="n">
        <v>55</v>
      </c>
    </row>
    <row r="10">
      <c r="A10" t="inlineStr">
        <is>
          <t>1.6</t>
        </is>
      </c>
      <c r="B10" t="inlineStr">
        <is>
          <t>DPS-CC1</t>
        </is>
      </c>
      <c r="C10" t="inlineStr">
        <is>
          <t>DPS CC TIPO 2, Uc &gt;= Voc DO ARRANJO (CONEXÃO + / PE E - / PE)</t>
        </is>
      </c>
      <c r="D10" t="inlineStr">
        <is>
          <t>un</t>
        </is>
      </c>
      <c r="E10" t="inlineStr">
        <is>
          <t>Loja Oficial Clamper MG</t>
        </is>
      </c>
      <c r="F10" s="100" t="n">
        <v>162</v>
      </c>
      <c r="G10" t="inlineStr">
        <is>
          <t>Mercado Livre (Clamper Solar)</t>
        </is>
      </c>
      <c r="H10" s="100" t="n">
        <v>168</v>
      </c>
      <c r="I10" t="inlineStr">
        <is>
          <t>Neosolar Protecoes</t>
        </is>
      </c>
      <c r="J10" s="100" t="n">
        <v>175</v>
      </c>
      <c r="K10" s="100" t="n">
        <v>168.3333333333333</v>
      </c>
      <c r="L10" s="92" t="n">
        <v>165</v>
      </c>
    </row>
    <row r="11">
      <c r="A11" t="inlineStr">
        <is>
          <t>2.1</t>
        </is>
      </c>
      <c r="B11" t="inlineStr">
        <is>
          <t>CC-01</t>
        </is>
      </c>
      <c r="C11" t="inlineStr">
        <is>
          <t>CONTROLADOR DE CARGA MPPT 48 V, Vpv MÁX &gt; Voc DO ARRANJO NA MENOR TEMPERATURA, I SAÍDA &gt;= Pfv/Vbat</t>
        </is>
      </c>
      <c r="D11" t="inlineStr">
        <is>
          <t>un</t>
        </is>
      </c>
      <c r="E11" t="inlineStr">
        <is>
          <t>Mercado Livre (ZK-SJ20)</t>
        </is>
      </c>
      <c r="F11" s="100" t="n">
        <v>189</v>
      </c>
      <c r="G11" t="inlineStr">
        <is>
          <t>Shopee Brasil</t>
        </is>
      </c>
      <c r="H11" s="100" t="n">
        <v>195</v>
      </c>
      <c r="I11" t="inlineStr">
        <is>
          <t>Neosolar (Ref. Epever 48V)</t>
        </is>
      </c>
      <c r="J11" s="100" t="n">
        <v>890</v>
      </c>
      <c r="K11" s="100" t="n">
        <v>424.6666666666667</v>
      </c>
      <c r="L11" s="92" t="n">
        <v>195</v>
      </c>
    </row>
    <row r="12">
      <c r="A12" t="inlineStr">
        <is>
          <t>2.2</t>
        </is>
      </c>
      <c r="B12" t="inlineStr">
        <is>
          <t>Q-CC1</t>
        </is>
      </c>
      <c r="C12" t="inlineStr">
        <is>
          <t>DISJUNTOR CC BIPOLAR NA SAÍDA DO MPPT, In &gt;= 1,25 x I SAÍDA MÁXIMA DO CONTROLADOR</t>
        </is>
      </c>
      <c r="D12" t="inlineStr">
        <is>
          <t>un</t>
        </is>
      </c>
      <c r="E12" t="inlineStr">
        <is>
          <t>Mercado Livre (Disjuntor CC 20A)</t>
        </is>
      </c>
      <c r="F12" s="100" t="n">
        <v>52</v>
      </c>
      <c r="G12" t="inlineStr">
        <is>
          <t>Santil Materiais Eletricos</t>
        </is>
      </c>
      <c r="H12" s="100" t="n">
        <v>58</v>
      </c>
      <c r="I12" t="inlineStr">
        <is>
          <t>Neosolar Componentes CC</t>
        </is>
      </c>
      <c r="J12" s="100" t="n">
        <v>60</v>
      </c>
      <c r="K12" s="100" t="n">
        <v>56.66666666666666</v>
      </c>
      <c r="L12" s="92" t="n">
        <v>55</v>
      </c>
    </row>
    <row r="13">
      <c r="A13" t="inlineStr">
        <is>
          <t>3.1</t>
        </is>
      </c>
      <c r="B13" t="inlineStr">
        <is>
          <t>BAT-01</t>
        </is>
      </c>
      <c r="C13" t="inlineStr">
        <is>
          <t>BANCO DE BATERIAS 48 Vcc, CAPACIDADE ÚTIL &gt;= 4,1 kWh (~86 Ah A 48 V, DoD 80 %, SEM AUTONOMIA ADICIONAL)</t>
        </is>
      </c>
      <c r="D13" t="inlineStr">
        <is>
          <t>conj</t>
        </is>
      </c>
      <c r="E13" t="inlineStr">
        <is>
          <t>Bateria Nativa Ducato (PMMG)</t>
        </is>
      </c>
      <c r="F13" s="100" t="n">
        <v>0</v>
      </c>
      <c r="G13" t="inlineStr">
        <is>
          <t>Mercado Livre (Ref. LiFePO4)</t>
        </is>
      </c>
      <c r="H13" s="100" t="n">
        <v>5400</v>
      </c>
      <c r="I13" t="inlineStr">
        <is>
          <t>Neosolar (Ref. Felicity 48V)</t>
        </is>
      </c>
      <c r="J13" s="100" t="n">
        <v>5800</v>
      </c>
      <c r="K13" s="100" t="n">
        <v>3733.333333333333</v>
      </c>
      <c r="L13" s="92" t="n">
        <v>0</v>
      </c>
    </row>
    <row r="14">
      <c r="A14" t="inlineStr">
        <is>
          <t>3.2</t>
        </is>
      </c>
      <c r="B14" t="inlineStr">
        <is>
          <t>BMS-01</t>
        </is>
      </c>
      <c r="C14" t="inlineStr">
        <is>
          <t>BMS PARA BANCO 48 V (INTEGRADO AO PACK, SE LiFePO4)</t>
        </is>
      </c>
      <c r="D14" t="inlineStr">
        <is>
          <t>un</t>
        </is>
      </c>
      <c r="E14" t="inlineStr">
        <is>
          <t>BMS Integrado Ducato (PMMG)</t>
        </is>
      </c>
      <c r="F14" s="100" t="n">
        <v>0</v>
      </c>
      <c r="G14" t="inlineStr">
        <is>
          <t>Mercado Livre (Ref. Daly Smart)</t>
        </is>
      </c>
      <c r="H14" s="100" t="n">
        <v>830</v>
      </c>
      <c r="I14" t="inlineStr">
        <is>
          <t>Shopee (Ref. Daly 100A)</t>
        </is>
      </c>
      <c r="J14" s="100" t="n">
        <v>880</v>
      </c>
      <c r="K14" s="100" t="n">
        <v>570</v>
      </c>
      <c r="L14" s="92" t="n">
        <v>0</v>
      </c>
    </row>
    <row r="15">
      <c r="A15" t="inlineStr">
        <is>
          <t>3.3</t>
        </is>
      </c>
      <c r="B15" t="inlineStr">
        <is>
          <t>F-01</t>
        </is>
      </c>
      <c r="C15" t="inlineStr">
        <is>
          <t>FUSÍVEL PRINCIPAL CC COM PORTA-FUSÍVEL, INSTALADO JUNTO AO POLO POSITIVO DA BATERIA</t>
        </is>
      </c>
      <c r="D15" t="inlineStr">
        <is>
          <t>un</t>
        </is>
      </c>
      <c r="E15" t="inlineStr">
        <is>
          <t>Mercado Livre (Kit ANL 100A)</t>
        </is>
      </c>
      <c r="F15" s="100" t="n">
        <v>42</v>
      </c>
      <c r="G15" t="inlineStr">
        <is>
          <t>Santil Materiais Eletricos</t>
        </is>
      </c>
      <c r="H15" s="100" t="n">
        <v>48</v>
      </c>
      <c r="I15" t="inlineStr">
        <is>
          <t>Leroy Merlin BH</t>
        </is>
      </c>
      <c r="J15" s="100" t="n">
        <v>52</v>
      </c>
      <c r="K15" s="100" t="n">
        <v>47.33333333333334</v>
      </c>
      <c r="L15" s="92" t="n">
        <v>45</v>
      </c>
    </row>
    <row r="16">
      <c r="A16" t="inlineStr">
        <is>
          <t>3.4</t>
        </is>
      </c>
      <c r="B16" t="inlineStr">
        <is>
          <t>S-01</t>
        </is>
      </c>
      <c r="C16" t="inlineStr">
        <is>
          <t>CHAVE SECCIONADORA CC BIPOLAR, Vn CC &gt;= 60 V, In &gt;= F-01</t>
        </is>
      </c>
      <c r="D16" t="inlineStr">
        <is>
          <t>un</t>
        </is>
      </c>
      <c r="E16" t="inlineStr">
        <is>
          <t>Mercado Livre (Chave Geral 300A)</t>
        </is>
      </c>
      <c r="F16" s="100" t="n">
        <v>62</v>
      </c>
      <c r="G16" t="inlineStr">
        <is>
          <t>Leroy Merlin BH</t>
        </is>
      </c>
      <c r="H16" s="100" t="n">
        <v>69</v>
      </c>
      <c r="I16" t="inlineStr">
        <is>
          <t>Santil Materiais Eletricos</t>
        </is>
      </c>
      <c r="J16" s="100" t="n">
        <v>75</v>
      </c>
      <c r="K16" s="100" t="n">
        <v>68.66666666666667</v>
      </c>
      <c r="L16" s="92" t="n">
        <v>65</v>
      </c>
    </row>
    <row r="17">
      <c r="A17" t="inlineStr">
        <is>
          <t>3.5</t>
        </is>
      </c>
      <c r="B17" t="inlineStr">
        <is>
          <t>BCC+ / BCC-</t>
        </is>
      </c>
      <c r="C17" t="inlineStr">
        <is>
          <t>BARRAMENTO CC DE COBRE (POSITIVO E NEGATIVO), &gt;= 100 A, COM BORNES PARA CABOS ATÉ 25 mm²</t>
        </is>
      </c>
      <c r="D17" t="inlineStr">
        <is>
          <t>un</t>
        </is>
      </c>
      <c r="E17" t="inlineStr">
        <is>
          <t>Mercado Livre (Barra Cobre 100A)</t>
        </is>
      </c>
      <c r="F17" s="100" t="n">
        <v>58</v>
      </c>
      <c r="G17" t="inlineStr">
        <is>
          <t>Santil Materiais Eletricos</t>
        </is>
      </c>
      <c r="H17" s="100" t="n">
        <v>62</v>
      </c>
      <c r="I17" t="inlineStr">
        <is>
          <t>Leroy Merlin BH</t>
        </is>
      </c>
      <c r="J17" s="100" t="n">
        <v>65</v>
      </c>
      <c r="K17" s="100" t="n">
        <v>61.66666666666666</v>
      </c>
      <c r="L17" s="92" t="n">
        <v>60</v>
      </c>
    </row>
    <row r="18">
      <c r="A18" t="inlineStr">
        <is>
          <t>3.6</t>
        </is>
      </c>
      <c r="B18" t="inlineStr">
        <is>
          <t>SUP-BAT</t>
        </is>
      </c>
      <c r="C18" t="inlineStr">
        <is>
          <t>SUPORTE E FIXAÇÃO DO BANCO DE BATERIAS E DO INVERSOR AO PISO/PAREDE DO FURGÃO</t>
        </is>
      </c>
      <c r="D18" t="inlineStr">
        <is>
          <t>conj</t>
        </is>
      </c>
      <c r="E18" t="inlineStr">
        <is>
          <t>Mercado Livre (Suporte Reforcado)</t>
        </is>
      </c>
      <c r="F18" s="100" t="n">
        <v>115</v>
      </c>
      <c r="G18" t="inlineStr">
        <is>
          <t>Leroy Merlin BH</t>
        </is>
      </c>
      <c r="H18" s="100" t="n">
        <v>125</v>
      </c>
      <c r="I18" t="inlineStr">
        <is>
          <t>Autopecas BH</t>
        </is>
      </c>
      <c r="J18" s="100" t="n">
        <v>130</v>
      </c>
      <c r="K18" s="100" t="n">
        <v>123.3333333333333</v>
      </c>
      <c r="L18" s="92" t="n">
        <v>120</v>
      </c>
    </row>
    <row r="19">
      <c r="A19" t="inlineStr">
        <is>
          <t>4.1</t>
        </is>
      </c>
      <c r="B19" t="inlineStr">
        <is>
          <t>INV-01</t>
        </is>
      </c>
      <c r="C19" t="inlineStr">
        <is>
          <t>INVERSOR SOLAR OFF-GRID EPEVER IPOWER PLUS IP3000-41 (T), 3000 W (SURTO 6000 W), 48 Vcc / 127 Vca, 60 Hz</t>
        </is>
      </c>
      <c r="D19" t="inlineStr">
        <is>
          <t>un</t>
        </is>
      </c>
      <c r="E19" t="inlineStr">
        <is>
          <t>Mercado Livre (Epever Oficial)</t>
        </is>
      </c>
      <c r="F19" s="100" t="n">
        <v>3450</v>
      </c>
      <c r="G19" t="inlineStr">
        <is>
          <t>Neosolar Energia</t>
        </is>
      </c>
      <c r="H19" s="100" t="n">
        <v>3590</v>
      </c>
      <c r="I19" t="inlineStr">
        <is>
          <t>Energia Total Solar</t>
        </is>
      </c>
      <c r="J19" s="100" t="n">
        <v>3650</v>
      </c>
      <c r="K19" s="100" t="n">
        <v>3563.333333333333</v>
      </c>
      <c r="L19" s="92" t="n">
        <v>3490</v>
      </c>
    </row>
    <row r="20">
      <c r="A20" t="inlineStr">
        <is>
          <t>4.2</t>
        </is>
      </c>
      <c r="B20" t="inlineStr">
        <is>
          <t>Q-INV</t>
        </is>
      </c>
      <c r="C20" t="inlineStr">
        <is>
          <t>DISJUNTOR/FUSÍVEL CC BIPOLAR ~100 A NA ENTRADA DO INVERSOR</t>
        </is>
      </c>
      <c r="D20" t="inlineStr">
        <is>
          <t>un</t>
        </is>
      </c>
      <c r="E20" t="inlineStr">
        <is>
          <t>Mercado Livre (Disjuntor CC 100A)</t>
        </is>
      </c>
      <c r="F20" s="100" t="n">
        <v>92</v>
      </c>
      <c r="G20" t="inlineStr">
        <is>
          <t>Neosolar Componentes CC</t>
        </is>
      </c>
      <c r="H20" s="100" t="n">
        <v>98</v>
      </c>
      <c r="I20" t="inlineStr">
        <is>
          <t>Santil Materiais Eletricos</t>
        </is>
      </c>
      <c r="J20" s="100" t="n">
        <v>105</v>
      </c>
      <c r="K20" s="100" t="n">
        <v>98.33333333333333</v>
      </c>
      <c r="L20" s="92" t="n">
        <v>95</v>
      </c>
    </row>
    <row r="21">
      <c r="A21" t="inlineStr">
        <is>
          <t>5.1</t>
        </is>
      </c>
      <c r="B21" t="inlineStr">
        <is>
          <t>QD-01</t>
        </is>
      </c>
      <c r="C21" t="inlineStr">
        <is>
          <t>QUADRO DE DISTRIBUIÇÃO CA 127 V COM TRILHO DIN, &gt;= 12 MÓDULOS</t>
        </is>
      </c>
      <c r="D21" t="inlineStr">
        <is>
          <t>un</t>
        </is>
      </c>
      <c r="E21" t="inlineStr">
        <is>
          <t>Leroy Merlin BH</t>
        </is>
      </c>
      <c r="F21" s="100" t="n">
        <v>62.9</v>
      </c>
      <c r="G21" t="inlineStr">
        <is>
          <t>Santil Materiais Eletricos</t>
        </is>
      </c>
      <c r="H21" s="100" t="n">
        <v>66</v>
      </c>
      <c r="I21" t="inlineStr">
        <is>
          <t>Mercado Livre (Quadro 12 DIN)</t>
        </is>
      </c>
      <c r="J21" s="100" t="n">
        <v>69.90000000000001</v>
      </c>
      <c r="K21" s="100" t="n">
        <v>66.26666666666667</v>
      </c>
      <c r="L21" s="92" t="n">
        <v>65</v>
      </c>
    </row>
    <row r="22">
      <c r="A22" t="inlineStr">
        <is>
          <t>5.2</t>
        </is>
      </c>
      <c r="B22" t="inlineStr">
        <is>
          <t>QG-01</t>
        </is>
      </c>
      <c r="C22" t="inlineStr">
        <is>
          <t>DISJUNTOR GERAL BIPOLAR 25 A, 127 V</t>
        </is>
      </c>
      <c r="D22" t="inlineStr">
        <is>
          <t>un</t>
        </is>
      </c>
      <c r="E22" t="inlineStr">
        <is>
          <t>Leroy Merlin BH</t>
        </is>
      </c>
      <c r="F22" s="100" t="n">
        <v>29.9</v>
      </c>
      <c r="G22" t="inlineStr">
        <is>
          <t>Santil Materiais Eletricos</t>
        </is>
      </c>
      <c r="H22" s="100" t="n">
        <v>33.5</v>
      </c>
      <c r="I22" t="inlineStr">
        <is>
          <t>Mercado Livre (Steck 25A Bipolar)</t>
        </is>
      </c>
      <c r="J22" s="100" t="n">
        <v>35</v>
      </c>
      <c r="K22" s="100" t="n">
        <v>32.8</v>
      </c>
      <c r="L22" s="92" t="n">
        <v>32</v>
      </c>
    </row>
    <row r="23">
      <c r="A23" t="inlineStr">
        <is>
          <t>5.3</t>
        </is>
      </c>
      <c r="B23" t="inlineStr">
        <is>
          <t>DPS-CA1</t>
        </is>
      </c>
      <c r="C23" t="inlineStr">
        <is>
          <t>DPS CA TIPO 2 (CONEXÕES F-PE E N-PE)</t>
        </is>
      </c>
      <c r="D23" t="inlineStr">
        <is>
          <t>un</t>
        </is>
      </c>
      <c r="E23" t="inlineStr">
        <is>
          <t>Loja Oficial Clamper MG</t>
        </is>
      </c>
      <c r="F23" s="100" t="n">
        <v>46</v>
      </c>
      <c r="G23" t="inlineStr">
        <is>
          <t>Leroy Merlin BH</t>
        </is>
      </c>
      <c r="H23" s="100" t="n">
        <v>49.9</v>
      </c>
      <c r="I23" t="inlineStr">
        <is>
          <t>Mercado Livre (Clamper Front)</t>
        </is>
      </c>
      <c r="J23" s="100" t="n">
        <v>51</v>
      </c>
      <c r="K23" s="100" t="n">
        <v>48.96666666666667</v>
      </c>
      <c r="L23" s="92" t="n">
        <v>48</v>
      </c>
    </row>
    <row r="24">
      <c r="A24" t="inlineStr">
        <is>
          <t>5.4</t>
        </is>
      </c>
      <c r="B24" t="inlineStr">
        <is>
          <t>DR-01</t>
        </is>
      </c>
      <c r="C24" t="inlineStr">
        <is>
          <t>INTERRUPTOR DIFERENCIAL RESIDUAL BIPOLAR 40 A / 30 mA</t>
        </is>
      </c>
      <c r="D24" t="inlineStr">
        <is>
          <t>un</t>
        </is>
      </c>
      <c r="E24" t="inlineStr">
        <is>
          <t>Leroy Merlin BH</t>
        </is>
      </c>
      <c r="F24" s="100" t="n">
        <v>95</v>
      </c>
      <c r="G24" t="inlineStr">
        <is>
          <t>Santil Materiais Eletricos</t>
        </is>
      </c>
      <c r="H24" s="100" t="n">
        <v>99</v>
      </c>
      <c r="I24" t="inlineStr">
        <is>
          <t>Mercado Livre (IDR Steck 40A)</t>
        </is>
      </c>
      <c r="J24" s="100" t="n">
        <v>105</v>
      </c>
      <c r="K24" s="100" t="n">
        <v>99.66666666666667</v>
      </c>
      <c r="L24" s="92" t="n">
        <v>98</v>
      </c>
    </row>
    <row r="25">
      <c r="A25" t="inlineStr">
        <is>
          <t>5.5</t>
        </is>
      </c>
      <c r="B25" t="inlineStr">
        <is>
          <t>Q1, Q2, Q4-Q6</t>
        </is>
      </c>
      <c r="C25" t="inlineStr">
        <is>
          <t>DISJUNTOR UNIPOLAR 10 A</t>
        </is>
      </c>
      <c r="D25" t="inlineStr">
        <is>
          <t>un</t>
        </is>
      </c>
      <c r="E25" t="inlineStr">
        <is>
          <t>Leroy Merlin BH</t>
        </is>
      </c>
      <c r="F25" s="100" t="n">
        <v>13.5</v>
      </c>
      <c r="G25" t="inlineStr">
        <is>
          <t>Santil Materiais Eletricos</t>
        </is>
      </c>
      <c r="H25" s="100" t="n">
        <v>14.2</v>
      </c>
      <c r="I25" t="inlineStr">
        <is>
          <t>Mercado Livre (Steck 10A)</t>
        </is>
      </c>
      <c r="J25" s="100" t="n">
        <v>15</v>
      </c>
      <c r="K25" s="100" t="n">
        <v>14.23333333333333</v>
      </c>
      <c r="L25" s="92" t="n">
        <v>14</v>
      </c>
    </row>
    <row r="26">
      <c r="A26" t="inlineStr">
        <is>
          <t>5.6</t>
        </is>
      </c>
      <c r="B26" t="inlineStr">
        <is>
          <t>Q3</t>
        </is>
      </c>
      <c r="C26" t="inlineStr">
        <is>
          <t>DISJUNTOR UNIPOLAR 16 OU 20 A (TOMADAS DOS NOTEBOOKS)</t>
        </is>
      </c>
      <c r="D26" t="inlineStr">
        <is>
          <t>un</t>
        </is>
      </c>
      <c r="E26" t="inlineStr">
        <is>
          <t>Leroy Merlin BH</t>
        </is>
      </c>
      <c r="F26" s="100" t="n">
        <v>13.5</v>
      </c>
      <c r="G26" t="inlineStr">
        <is>
          <t>Santil Materiais Eletricos</t>
        </is>
      </c>
      <c r="H26" s="100" t="n">
        <v>14.2</v>
      </c>
      <c r="I26" t="inlineStr">
        <is>
          <t>Mercado Livre (Steck 20A)</t>
        </is>
      </c>
      <c r="J26" s="100" t="n">
        <v>15</v>
      </c>
      <c r="K26" s="100" t="n">
        <v>14.23333333333333</v>
      </c>
      <c r="L26" s="92" t="n">
        <v>14</v>
      </c>
    </row>
    <row r="27">
      <c r="A27" t="inlineStr">
        <is>
          <t>5.7</t>
        </is>
      </c>
      <c r="B27" t="inlineStr">
        <is>
          <t>BF-01</t>
        </is>
      </c>
      <c r="C27" t="inlineStr">
        <is>
          <t>BARRAMENTO DE FASE (PENTE) PARA O QUADRO CA</t>
        </is>
      </c>
      <c r="D27" t="inlineStr">
        <is>
          <t>un</t>
        </is>
      </c>
      <c r="E27" t="inlineStr">
        <is>
          <t>Leroy Merlin BH</t>
        </is>
      </c>
      <c r="F27" s="100" t="n">
        <v>26.5</v>
      </c>
      <c r="G27" t="inlineStr">
        <is>
          <t>Santil Materiais Eletricos</t>
        </is>
      </c>
      <c r="H27" s="100" t="n">
        <v>28.9</v>
      </c>
      <c r="I27" t="inlineStr">
        <is>
          <t>Mercado Livre (Barramento Pente)</t>
        </is>
      </c>
      <c r="J27" s="100" t="n">
        <v>30</v>
      </c>
      <c r="K27" s="100" t="n">
        <v>28.46666666666667</v>
      </c>
      <c r="L27" s="92" t="n">
        <v>28</v>
      </c>
    </row>
    <row r="28">
      <c r="A28" t="inlineStr">
        <is>
          <t>5.8</t>
        </is>
      </c>
      <c r="B28" t="inlineStr">
        <is>
          <t>BN-01</t>
        </is>
      </c>
      <c r="C28" t="inlineStr">
        <is>
          <t>BARRAMENTO DE NEUTRO PARA O QUADRO CA</t>
        </is>
      </c>
      <c r="D28" t="inlineStr">
        <is>
          <t>un</t>
        </is>
      </c>
      <c r="E28" t="inlineStr">
        <is>
          <t>Leroy Merlin BH</t>
        </is>
      </c>
      <c r="F28" s="100" t="n">
        <v>16.9</v>
      </c>
      <c r="G28" t="inlineStr">
        <is>
          <t>Santil Materiais Eletricos</t>
        </is>
      </c>
      <c r="H28" s="100" t="n">
        <v>18.5</v>
      </c>
      <c r="I28" t="inlineStr">
        <is>
          <t>Mercado Livre (Barra Neutro DIN)</t>
        </is>
      </c>
      <c r="J28" s="100" t="n">
        <v>19.9</v>
      </c>
      <c r="K28" s="100" t="n">
        <v>18.43333333333333</v>
      </c>
      <c r="L28" s="92" t="n">
        <v>18</v>
      </c>
    </row>
    <row r="29">
      <c r="A29" t="inlineStr">
        <is>
          <t>5.9</t>
        </is>
      </c>
      <c r="B29" t="inlineStr">
        <is>
          <t>BPE-01</t>
        </is>
      </c>
      <c r="C29" t="inlineStr">
        <is>
          <t>BARRAMENTO DE PROTEÇÃO (PE) PARA O QUADRO CA</t>
        </is>
      </c>
      <c r="D29" t="inlineStr">
        <is>
          <t>un</t>
        </is>
      </c>
      <c r="E29" t="inlineStr">
        <is>
          <t>Leroy Merlin BH</t>
        </is>
      </c>
      <c r="F29" s="100" t="n">
        <v>16.9</v>
      </c>
      <c r="G29" t="inlineStr">
        <is>
          <t>Santil Materiais Eletricos</t>
        </is>
      </c>
      <c r="H29" s="100" t="n">
        <v>18.5</v>
      </c>
      <c r="I29" t="inlineStr">
        <is>
          <t>Mercado Livre (Barra Terra DIN)</t>
        </is>
      </c>
      <c r="J29" s="100" t="n">
        <v>19.9</v>
      </c>
      <c r="K29" s="100" t="n">
        <v>18.43333333333333</v>
      </c>
      <c r="L29" s="92" t="n">
        <v>18</v>
      </c>
    </row>
    <row r="30">
      <c r="A30" t="inlineStr">
        <is>
          <t>6.1</t>
        </is>
      </c>
      <c r="B30" t="inlineStr">
        <is>
          <t>Q-12</t>
        </is>
      </c>
      <c r="C30" t="inlineStr">
        <is>
          <t>DISJUNTOR CC BIPOLAR 5 A</t>
        </is>
      </c>
      <c r="D30" t="inlineStr">
        <is>
          <t>un</t>
        </is>
      </c>
      <c r="E30" t="inlineStr">
        <is>
          <t>Mercado Livre (Disjuntor CC 6A)</t>
        </is>
      </c>
      <c r="F30" s="100" t="n">
        <v>52</v>
      </c>
      <c r="G30" t="inlineStr">
        <is>
          <t>Santil Materiais Eletricos</t>
        </is>
      </c>
      <c r="H30" s="100" t="n">
        <v>56.5</v>
      </c>
      <c r="I30" t="inlineStr">
        <is>
          <t>Neosolar Componentes CC</t>
        </is>
      </c>
      <c r="J30" s="100" t="n">
        <v>59</v>
      </c>
      <c r="K30" s="100" t="n">
        <v>55.83333333333334</v>
      </c>
      <c r="L30" s="92" t="n">
        <v>55</v>
      </c>
    </row>
    <row r="31">
      <c r="A31" t="inlineStr">
        <is>
          <t>6.2</t>
        </is>
      </c>
      <c r="B31" t="inlineStr">
        <is>
          <t>CV-01</t>
        </is>
      </c>
      <c r="C31" t="inlineStr">
        <is>
          <t>CONVERSOR BUCK 48 Vcc PARA 13,8 Vcc, ATOWG-48S13R805, 69 W, 5 A</t>
        </is>
      </c>
      <c r="D31" t="inlineStr">
        <is>
          <t>un</t>
        </is>
      </c>
      <c r="E31" t="inlineStr">
        <is>
          <t>Mercado Livre (Buck 48V-12V 10A)</t>
        </is>
      </c>
      <c r="F31" s="100" t="n">
        <v>169</v>
      </c>
      <c r="G31" t="inlineStr">
        <is>
          <t>ATO Automation (Ref. Oficial)</t>
        </is>
      </c>
      <c r="H31" s="100" t="n">
        <v>185</v>
      </c>
      <c r="I31" t="inlineStr">
        <is>
          <t>Shopee Brasil</t>
        </is>
      </c>
      <c r="J31" s="100" t="n">
        <v>175</v>
      </c>
      <c r="K31" s="100" t="n">
        <v>176.3333333333333</v>
      </c>
      <c r="L31" s="92" t="n">
        <v>175</v>
      </c>
    </row>
    <row r="32">
      <c r="A32" t="inlineStr">
        <is>
          <t>6.3</t>
        </is>
      </c>
      <c r="B32" t="inlineStr">
        <is>
          <t>F-12</t>
        </is>
      </c>
      <c r="C32" t="inlineStr">
        <is>
          <t>FUSÍVEL 7,5 A COM PORTA-FUSÍVEL (SAÍDA DO CONVERSOR)</t>
        </is>
      </c>
      <c r="D32" t="inlineStr">
        <is>
          <t>un</t>
        </is>
      </c>
      <c r="E32" t="inlineStr">
        <is>
          <t>Mercado Livre (Kit Fusivel Lamina)</t>
        </is>
      </c>
      <c r="F32" s="100" t="n">
        <v>11.5</v>
      </c>
      <c r="G32" t="inlineStr">
        <is>
          <t>Leroy Merlin BH</t>
        </is>
      </c>
      <c r="H32" s="100" t="n">
        <v>13</v>
      </c>
      <c r="I32" t="inlineStr">
        <is>
          <t>Autopecas BH</t>
        </is>
      </c>
      <c r="J32" s="100" t="n">
        <v>14</v>
      </c>
      <c r="K32" s="100" t="n">
        <v>12.83333333333333</v>
      </c>
      <c r="L32" s="92" t="n">
        <v>12</v>
      </c>
    </row>
    <row r="33">
      <c r="A33" t="inlineStr">
        <is>
          <t>6.4</t>
        </is>
      </c>
      <c r="B33" t="inlineStr">
        <is>
          <t>BB-12</t>
        </is>
      </c>
      <c r="C33" t="inlineStr">
        <is>
          <t>BARRAMENTO AUXILIAR 13,8 Vcc OU BATERIA 12 V</t>
        </is>
      </c>
      <c r="D33" t="inlineStr">
        <is>
          <t>un</t>
        </is>
      </c>
      <c r="E33" t="inlineStr">
        <is>
          <t>Mercado Livre (Bloco 12V)</t>
        </is>
      </c>
      <c r="F33" s="100" t="n">
        <v>42</v>
      </c>
      <c r="G33" t="inlineStr">
        <is>
          <t>Santil Materiais Eletricos</t>
        </is>
      </c>
      <c r="H33" s="100" t="n">
        <v>46.5</v>
      </c>
      <c r="I33" t="inlineStr">
        <is>
          <t>Leroy Merlin BH</t>
        </is>
      </c>
      <c r="J33" s="100" t="n">
        <v>49</v>
      </c>
      <c r="K33" s="100" t="n">
        <v>45.83333333333334</v>
      </c>
      <c r="L33" s="92" t="n">
        <v>45</v>
      </c>
    </row>
    <row r="34">
      <c r="A34" t="inlineStr">
        <is>
          <t>7.1</t>
        </is>
      </c>
      <c r="B34" t="inlineStr">
        <is>
          <t>CB-01, CB-02</t>
        </is>
      </c>
      <c r="C34" t="inlineStr">
        <is>
          <t>CABO SOLAR DE COBRE ESTANHADO 4 mm², 1,8 kV CC, PRETO E VERMELHO</t>
        </is>
      </c>
      <c r="D34" t="inlineStr">
        <is>
          <t>m</t>
        </is>
      </c>
      <c r="E34" t="inlineStr">
        <is>
          <t>Mercado Livre (Metro Cabo Solar)</t>
        </is>
      </c>
      <c r="F34" s="100" t="n">
        <v>4.6</v>
      </c>
      <c r="G34" t="inlineStr">
        <is>
          <t>Neosolar Cabos Solares</t>
        </is>
      </c>
      <c r="H34" s="100" t="n">
        <v>4.9</v>
      </c>
      <c r="I34" t="inlineStr">
        <is>
          <t>Leroy Merlin BH</t>
        </is>
      </c>
      <c r="J34" s="100" t="n">
        <v>5.2</v>
      </c>
      <c r="K34" s="100" t="n">
        <v>4.899999999999999</v>
      </c>
      <c r="L34" s="92" t="n">
        <v>4.8</v>
      </c>
    </row>
    <row r="35">
      <c r="A35" t="inlineStr">
        <is>
          <t>7.2</t>
        </is>
      </c>
      <c r="B35" t="inlineStr">
        <is>
          <t>CB-03</t>
        </is>
      </c>
      <c r="C35" t="inlineStr">
        <is>
          <t>CABO FLEXÍVEL DE COBRE 16 mm², 0,6/1 kV, PRETO E VERMELHO</t>
        </is>
      </c>
      <c r="D35" t="inlineStr">
        <is>
          <t>m</t>
        </is>
      </c>
      <c r="E35" t="inlineStr">
        <is>
          <t>Mercado Livre (Cabo 16mm2/m)</t>
        </is>
      </c>
      <c r="F35" s="100" t="n">
        <v>26.5</v>
      </c>
      <c r="G35" t="inlineStr">
        <is>
          <t>Santil Materiais Eletricos</t>
        </is>
      </c>
      <c r="H35" s="100" t="n">
        <v>28.5</v>
      </c>
      <c r="I35" t="inlineStr">
        <is>
          <t>Leroy Merlin BH</t>
        </is>
      </c>
      <c r="J35" s="100" t="n">
        <v>31</v>
      </c>
      <c r="K35" s="100" t="n">
        <v>28.66666666666667</v>
      </c>
      <c r="L35" s="92" t="n">
        <v>28</v>
      </c>
    </row>
    <row r="36">
      <c r="A36" t="inlineStr">
        <is>
          <t>7.3</t>
        </is>
      </c>
      <c r="B36" t="inlineStr">
        <is>
          <t>CB-05, CB-06</t>
        </is>
      </c>
      <c r="C36" t="inlineStr">
        <is>
          <t>CABO FLEXÍVEL DE COBRE 25 mm², 0,6/1 kV, PRETO E VERMELHO</t>
        </is>
      </c>
      <c r="D36" t="inlineStr">
        <is>
          <t>m</t>
        </is>
      </c>
      <c r="E36" t="inlineStr">
        <is>
          <t>Mercado Livre (Cabo 25mm2/m)</t>
        </is>
      </c>
      <c r="F36" s="100" t="n">
        <v>39.9</v>
      </c>
      <c r="G36" t="inlineStr">
        <is>
          <t>Santil Materiais Eletricos</t>
        </is>
      </c>
      <c r="H36" s="100" t="n">
        <v>43</v>
      </c>
      <c r="I36" t="inlineStr">
        <is>
          <t>Leroy Merlin BH</t>
        </is>
      </c>
      <c r="J36" s="100" t="n">
        <v>46.5</v>
      </c>
      <c r="K36" s="100" t="n">
        <v>43.13333333333333</v>
      </c>
      <c r="L36" s="92" t="n">
        <v>42</v>
      </c>
    </row>
    <row r="37">
      <c r="A37" t="inlineStr">
        <is>
          <t>7.4</t>
        </is>
      </c>
      <c r="B37" t="inlineStr">
        <is>
          <t>CB-08, CB-09</t>
        </is>
      </c>
      <c r="C37" t="inlineStr">
        <is>
          <t>CABO FLEXÍVEL DE COBRE 2,5 mm², 750 V, PRETO E VERMELHO (RAMO 12 V)</t>
        </is>
      </c>
      <c r="D37" t="inlineStr">
        <is>
          <t>m</t>
        </is>
      </c>
      <c r="E37" t="inlineStr">
        <is>
          <t>Leroy Merlin BH</t>
        </is>
      </c>
      <c r="F37" s="100" t="n">
        <v>2.8</v>
      </c>
      <c r="G37" t="inlineStr">
        <is>
          <t>Santil Materiais Eletricos</t>
        </is>
      </c>
      <c r="H37" s="100" t="n">
        <v>2.95</v>
      </c>
      <c r="I37" t="inlineStr">
        <is>
          <t>Mercado Livre (Cabo 2.5mm2/m)</t>
        </is>
      </c>
      <c r="J37" s="100" t="n">
        <v>3.1</v>
      </c>
      <c r="K37" s="100" t="n">
        <v>2.95</v>
      </c>
      <c r="L37" s="92" t="n">
        <v>2.9</v>
      </c>
    </row>
    <row r="38">
      <c r="A38" t="inlineStr">
        <is>
          <t>7.5</t>
        </is>
      </c>
      <c r="B38" t="inlineStr">
        <is>
          <t>CB-07</t>
        </is>
      </c>
      <c r="C38" t="inlineStr">
        <is>
          <t>CABO FLEXÍVEL DE COBRE 6 mm², 750 V (FASE, NEUTRO E PE)</t>
        </is>
      </c>
      <c r="D38" t="inlineStr">
        <is>
          <t>m</t>
        </is>
      </c>
      <c r="E38" t="inlineStr">
        <is>
          <t>Leroy Merlin BH</t>
        </is>
      </c>
      <c r="F38" s="100" t="n">
        <v>7.2</v>
      </c>
      <c r="G38" t="inlineStr">
        <is>
          <t>Santil Materiais Eletricos</t>
        </is>
      </c>
      <c r="H38" s="100" t="n">
        <v>7.6</v>
      </c>
      <c r="I38" t="inlineStr">
        <is>
          <t>Mercado Livre (Cabo 6mm2/m)</t>
        </is>
      </c>
      <c r="J38" s="100" t="n">
        <v>7.9</v>
      </c>
      <c r="K38" s="100" t="n">
        <v>7.566666666666667</v>
      </c>
      <c r="L38" s="92" t="n">
        <v>7.5</v>
      </c>
    </row>
    <row r="39">
      <c r="A39" t="inlineStr">
        <is>
          <t>7.6</t>
        </is>
      </c>
      <c r="B39" t="inlineStr">
        <is>
          <t>CB-11, CB-12</t>
        </is>
      </c>
      <c r="C39" t="inlineStr">
        <is>
          <t>CABO FLEXÍVEL DE COBRE 1,5 mm², 750 V (FASE, NEUTRO E PE) - ILUMINAÇÃO</t>
        </is>
      </c>
      <c r="D39" t="inlineStr">
        <is>
          <t>m</t>
        </is>
      </c>
      <c r="E39" t="inlineStr">
        <is>
          <t>Leroy Merlin BH</t>
        </is>
      </c>
      <c r="F39" s="100" t="n">
        <v>1.75</v>
      </c>
      <c r="G39" t="inlineStr">
        <is>
          <t>Santil Materiais Eletricos</t>
        </is>
      </c>
      <c r="H39" s="100" t="n">
        <v>1.85</v>
      </c>
      <c r="I39" t="inlineStr">
        <is>
          <t>Mercado Livre (Cabo 1.5mm2/m)</t>
        </is>
      </c>
      <c r="J39" s="100" t="n">
        <v>1.95</v>
      </c>
      <c r="K39" s="100" t="n">
        <v>1.85</v>
      </c>
      <c r="L39" s="92" t="n">
        <v>1.8</v>
      </c>
    </row>
    <row r="40">
      <c r="A40" t="inlineStr">
        <is>
          <t>7.7</t>
        </is>
      </c>
      <c r="B40" t="inlineStr">
        <is>
          <t>CB-13 a CB-16</t>
        </is>
      </c>
      <c r="C40" t="inlineStr">
        <is>
          <t>CABO FLEXÍVEL DE COBRE 2,5 mm², 750 V (FASE, NEUTRO E PE) - TOMADAS, FRIGOBAR, NVR/WI-FI E CFTV</t>
        </is>
      </c>
      <c r="D40" t="inlineStr">
        <is>
          <t>m</t>
        </is>
      </c>
      <c r="E40" t="inlineStr">
        <is>
          <t>Leroy Merlin BH</t>
        </is>
      </c>
      <c r="F40" s="100" t="n">
        <v>2.8</v>
      </c>
      <c r="G40" t="inlineStr">
        <is>
          <t>Santil Materiais Eletricos</t>
        </is>
      </c>
      <c r="H40" s="100" t="n">
        <v>2.95</v>
      </c>
      <c r="I40" t="inlineStr">
        <is>
          <t>Mercado Livre (Cabo 2.5mm2/m)</t>
        </is>
      </c>
      <c r="J40" s="100" t="n">
        <v>3.1</v>
      </c>
      <c r="K40" s="100" t="n">
        <v>2.95</v>
      </c>
      <c r="L40" s="92" t="n">
        <v>2.9</v>
      </c>
    </row>
    <row r="41">
      <c r="A41" t="inlineStr">
        <is>
          <t>7.8</t>
        </is>
      </c>
      <c r="B41" t="inlineStr">
        <is>
          <t>PE-01 a PE-08</t>
        </is>
      </c>
      <c r="C41" t="inlineStr">
        <is>
          <t>CABO FLEXÍVEL DE COBRE 6 mm², 750 V, VERDE (PROTEÇÃO / EQUIPOTENCIALIZAÇÃO)</t>
        </is>
      </c>
      <c r="D41" t="inlineStr">
        <is>
          <t>m</t>
        </is>
      </c>
      <c r="E41" t="inlineStr">
        <is>
          <t>Leroy Merlin BH</t>
        </is>
      </c>
      <c r="F41" s="100" t="n">
        <v>7.2</v>
      </c>
      <c r="G41" t="inlineStr">
        <is>
          <t>Santil Materiais Eletricos</t>
        </is>
      </c>
      <c r="H41" s="100" t="n">
        <v>7.6</v>
      </c>
      <c r="I41" t="inlineStr">
        <is>
          <t>Mercado Livre (Cabo 6mm2 Verde)</t>
        </is>
      </c>
      <c r="J41" s="100" t="n">
        <v>7.9</v>
      </c>
      <c r="K41" s="100" t="n">
        <v>7.566666666666667</v>
      </c>
      <c r="L41" s="92" t="n">
        <v>7.5</v>
      </c>
    </row>
    <row r="42">
      <c r="A42" t="inlineStr">
        <is>
          <t>8.1</t>
        </is>
      </c>
      <c r="B42" t="inlineStr">
        <is>
          <t>BEP-01</t>
        </is>
      </c>
      <c r="C42" t="inlineStr">
        <is>
          <t>BARRAMENTO PRINCIPAL DE EQUIPOTENCIALIZAÇÃO (PE) EM COBRE, &gt;= 8 FUROS</t>
        </is>
      </c>
      <c r="D42" t="inlineStr">
        <is>
          <t>un</t>
        </is>
      </c>
      <c r="E42" t="inlineStr">
        <is>
          <t>Mercado Livre (Barra BEP 8 Vias)</t>
        </is>
      </c>
      <c r="F42" s="100" t="n">
        <v>72</v>
      </c>
      <c r="G42" t="inlineStr">
        <is>
          <t>Santil Materiais Eletricos</t>
        </is>
      </c>
      <c r="H42" s="100" t="n">
        <v>76.5</v>
      </c>
      <c r="I42" t="inlineStr">
        <is>
          <t>Leroy Merlin BH</t>
        </is>
      </c>
      <c r="J42" s="100" t="n">
        <v>82</v>
      </c>
      <c r="K42" s="100" t="n">
        <v>76.83333333333333</v>
      </c>
      <c r="L42" s="92" t="n">
        <v>75</v>
      </c>
    </row>
    <row r="43">
      <c r="A43" t="inlineStr">
        <is>
          <t>8.2</t>
        </is>
      </c>
      <c r="B43" t="inlineStr">
        <is>
          <t>EL-01</t>
        </is>
      </c>
      <c r="C43" t="inlineStr">
        <is>
          <t>ELETRODO DE ATERRAMENTO: HASTE COBREADA 5/8" x 2,4 m COM CONECTOR</t>
        </is>
      </c>
      <c r="D43" t="inlineStr">
        <is>
          <t>un</t>
        </is>
      </c>
      <c r="E43" t="inlineStr">
        <is>
          <t>Leroy Merlin BH</t>
        </is>
      </c>
      <c r="F43" s="100" t="n">
        <v>65</v>
      </c>
      <c r="G43" t="inlineStr">
        <is>
          <t>Mercado Livre (Haste 5/8 2.4m)</t>
        </is>
      </c>
      <c r="H43" s="100" t="n">
        <v>68</v>
      </c>
      <c r="I43" t="inlineStr">
        <is>
          <t>Santil Materiais Eletricos</t>
        </is>
      </c>
      <c r="J43" s="100" t="n">
        <v>74</v>
      </c>
      <c r="K43" s="100" t="n">
        <v>69</v>
      </c>
      <c r="L43" s="92" t="n">
        <v>68</v>
      </c>
    </row>
    <row r="44">
      <c r="A44" t="inlineStr">
        <is>
          <t>8.3</t>
        </is>
      </c>
      <c r="B44" t="inlineStr">
        <is>
          <t>MASSAS</t>
        </is>
      </c>
      <c r="C44" t="inlineStr">
        <is>
          <t>TERMINAIS E CONECTORES DE EQUIPOTENCIALIZAÇÃO PARA MASSAS METÁLICAS DA ESTAÇÃO (RACKS E BANCADAS)</t>
        </is>
      </c>
      <c r="D44" t="inlineStr">
        <is>
          <t>conj</t>
        </is>
      </c>
      <c r="E44" t="inlineStr">
        <is>
          <t>Mercado Livre (Kit Equipotencial)</t>
        </is>
      </c>
      <c r="F44" s="100" t="n">
        <v>75</v>
      </c>
      <c r="G44" t="inlineStr">
        <is>
          <t>Santil Materiais Eletricos</t>
        </is>
      </c>
      <c r="H44" s="100" t="n">
        <v>82</v>
      </c>
      <c r="I44" t="inlineStr">
        <is>
          <t>Leroy Merlin BH</t>
        </is>
      </c>
      <c r="J44" s="100" t="n">
        <v>88</v>
      </c>
      <c r="K44" s="100" t="n">
        <v>81.66666666666667</v>
      </c>
      <c r="L44" s="92" t="n">
        <v>80</v>
      </c>
    </row>
    <row r="45">
      <c r="A45" t="inlineStr">
        <is>
          <t>9.1</t>
        </is>
      </c>
      <c r="B45" t="inlineStr">
        <is>
          <t>-</t>
        </is>
      </c>
      <c r="C45" t="inlineStr">
        <is>
          <t>TERMINAL TUBULAR DE COMPRESSÃO PARA CABO 25 mm²</t>
        </is>
      </c>
      <c r="D45" t="inlineStr">
        <is>
          <t>un</t>
        </is>
      </c>
      <c r="E45" t="inlineStr">
        <is>
          <t>Mercado Livre (Terminal 25mm)</t>
        </is>
      </c>
      <c r="F45" s="100" t="n">
        <v>3.2</v>
      </c>
      <c r="G45" t="inlineStr">
        <is>
          <t>Santil Materiais Eletricos</t>
        </is>
      </c>
      <c r="H45" s="100" t="n">
        <v>3.6</v>
      </c>
      <c r="I45" t="inlineStr">
        <is>
          <t>Leroy Merlin BH</t>
        </is>
      </c>
      <c r="J45" s="100" t="n">
        <v>4</v>
      </c>
      <c r="K45" s="100" t="n">
        <v>3.6</v>
      </c>
      <c r="L45" s="92" t="n">
        <v>3.5</v>
      </c>
    </row>
    <row r="46">
      <c r="A46" t="inlineStr">
        <is>
          <t>9.2</t>
        </is>
      </c>
      <c r="B46" t="inlineStr">
        <is>
          <t>-</t>
        </is>
      </c>
      <c r="C46" t="inlineStr">
        <is>
          <t>TERMINAL TUBULAR DE COMPRESSÃO PARA CABO 16 mm²</t>
        </is>
      </c>
      <c r="D46" t="inlineStr">
        <is>
          <t>un</t>
        </is>
      </c>
      <c r="E46" t="inlineStr">
        <is>
          <t>Mercado Livre (Terminal 16mm)</t>
        </is>
      </c>
      <c r="F46" s="100" t="n">
        <v>2.3</v>
      </c>
      <c r="G46" t="inlineStr">
        <is>
          <t>Santil Materiais Eletricos</t>
        </is>
      </c>
      <c r="H46" s="100" t="n">
        <v>2.6</v>
      </c>
      <c r="I46" t="inlineStr">
        <is>
          <t>Leroy Merlin BH</t>
        </is>
      </c>
      <c r="J46" s="100" t="n">
        <v>3</v>
      </c>
      <c r="K46" s="100" t="n">
        <v>2.633333333333333</v>
      </c>
      <c r="L46" s="92" t="n">
        <v>2.5</v>
      </c>
    </row>
    <row r="47">
      <c r="A47" t="inlineStr">
        <is>
          <t>9.3</t>
        </is>
      </c>
      <c r="B47" t="inlineStr">
        <is>
          <t>-</t>
        </is>
      </c>
      <c r="C47" t="inlineStr">
        <is>
          <t>KIT DE TERMINAIS E PONTEIRAS PRÉ-ISOLADAS 1,5 A 6 mm²</t>
        </is>
      </c>
      <c r="D47" t="inlineStr">
        <is>
          <t>conj</t>
        </is>
      </c>
      <c r="E47" t="inlineStr">
        <is>
          <t>Mercado Livre (Kit 200 Pecas)</t>
        </is>
      </c>
      <c r="F47" s="100" t="n">
        <v>42</v>
      </c>
      <c r="G47" t="inlineStr">
        <is>
          <t>Leroy Merlin BH</t>
        </is>
      </c>
      <c r="H47" s="100" t="n">
        <v>46.9</v>
      </c>
      <c r="I47" t="inlineStr">
        <is>
          <t>Santil Materiais Eletricos</t>
        </is>
      </c>
      <c r="J47" s="100" t="n">
        <v>49</v>
      </c>
      <c r="K47" s="100" t="n">
        <v>45.96666666666667</v>
      </c>
      <c r="L47" s="92" t="n">
        <v>45</v>
      </c>
    </row>
    <row r="48">
      <c r="A48" t="inlineStr">
        <is>
          <t>9.4</t>
        </is>
      </c>
      <c r="B48" t="inlineStr">
        <is>
          <t>-</t>
        </is>
      </c>
      <c r="C48" t="inlineStr">
        <is>
          <t>PASSA-CABOS ESTANQUE IP67 PARA ENTRADA DOS CABOS SOLARES NO TETO DO FURGÃO</t>
        </is>
      </c>
      <c r="D48" t="inlineStr">
        <is>
          <t>un</t>
        </is>
      </c>
      <c r="E48" t="inlineStr">
        <is>
          <t>Mercado Livre (Passa-Cabo Teto IP68)</t>
        </is>
      </c>
      <c r="F48" s="100" t="n">
        <v>49.9</v>
      </c>
      <c r="G48" t="inlineStr">
        <is>
          <t>Shopee Brasil</t>
        </is>
      </c>
      <c r="H48" s="100" t="n">
        <v>52</v>
      </c>
      <c r="I48" t="inlineStr">
        <is>
          <t>Neosolar Acessorios</t>
        </is>
      </c>
      <c r="J48" s="100" t="n">
        <v>59</v>
      </c>
      <c r="K48" s="100" t="n">
        <v>53.63333333333333</v>
      </c>
      <c r="L48" s="92" t="n">
        <v>52</v>
      </c>
    </row>
    <row r="49">
      <c r="A49" t="inlineStr">
        <is>
          <t>9.5</t>
        </is>
      </c>
      <c r="B49" t="inlineStr">
        <is>
          <t>-</t>
        </is>
      </c>
      <c r="C49" t="inlineStr">
        <is>
          <t>ELETRODUTO FLEXÍVEL CORRUGADO 3/4" - CIRCUITOS CC (CB-01 A CB-09)</t>
        </is>
      </c>
      <c r="D49" t="inlineStr">
        <is>
          <t>m</t>
        </is>
      </c>
      <c r="E49" t="inlineStr">
        <is>
          <t>Leroy Merlin BH</t>
        </is>
      </c>
      <c r="F49" s="100" t="n">
        <v>2.1</v>
      </c>
      <c r="G49" t="inlineStr">
        <is>
          <t>Santil Materiais Eletricos</t>
        </is>
      </c>
      <c r="H49" s="100" t="n">
        <v>2.25</v>
      </c>
      <c r="I49" t="inlineStr">
        <is>
          <t>Mercado Livre (Eletroduto 3/4)</t>
        </is>
      </c>
      <c r="J49" s="100" t="n">
        <v>2.4</v>
      </c>
      <c r="K49" s="100" t="n">
        <v>2.25</v>
      </c>
      <c r="L49" s="92" t="n">
        <v>2.2</v>
      </c>
    </row>
    <row r="50">
      <c r="A50" t="inlineStr">
        <is>
          <t>9.6</t>
        </is>
      </c>
      <c r="B50" t="inlineStr">
        <is>
          <t>-</t>
        </is>
      </c>
      <c r="C50" t="inlineStr">
        <is>
          <t>ELETRODUTO FLEXÍVEL CORRUGADO 3/4" - CIRCUITOS CA (CB-07 E CB-11 A CB-16)</t>
        </is>
      </c>
      <c r="D50" t="inlineStr">
        <is>
          <t>m</t>
        </is>
      </c>
      <c r="E50" t="inlineStr">
        <is>
          <t>Leroy Merlin BH</t>
        </is>
      </c>
      <c r="F50" s="100" t="n">
        <v>2.1</v>
      </c>
      <c r="G50" t="inlineStr">
        <is>
          <t>Santil Materiais Eletricos</t>
        </is>
      </c>
      <c r="H50" s="100" t="n">
        <v>2.25</v>
      </c>
      <c r="I50" t="inlineStr">
        <is>
          <t>Mercado Livre (Eletroduto 3/4)</t>
        </is>
      </c>
      <c r="J50" s="100" t="n">
        <v>2.4</v>
      </c>
      <c r="K50" s="100" t="n">
        <v>2.25</v>
      </c>
      <c r="L50" s="92" t="n">
        <v>2.2</v>
      </c>
    </row>
    <row r="51">
      <c r="A51" t="inlineStr">
        <is>
          <t>9.7</t>
        </is>
      </c>
      <c r="B51" t="inlineStr">
        <is>
          <t>-</t>
        </is>
      </c>
      <c r="C51" t="inlineStr">
        <is>
          <t>TOMADA 2P+T 10 A / 250 V (NOTEBOOKS)</t>
        </is>
      </c>
      <c r="D51" t="inlineStr">
        <is>
          <t>un</t>
        </is>
      </c>
      <c r="E51" t="inlineStr">
        <is>
          <t>Leroy Merlin BH</t>
        </is>
      </c>
      <c r="F51" s="100" t="n">
        <v>15.5</v>
      </c>
      <c r="G51" t="inlineStr">
        <is>
          <t>Santil Materiais Eletricos</t>
        </is>
      </c>
      <c r="H51" s="100" t="n">
        <v>16.5</v>
      </c>
      <c r="I51" t="inlineStr">
        <is>
          <t>Mercado Livre (Tomada Tramontina)</t>
        </is>
      </c>
      <c r="J51" s="100" t="n">
        <v>17.5</v>
      </c>
      <c r="K51" s="100" t="n">
        <v>16.5</v>
      </c>
      <c r="L51" s="92" t="n">
        <v>16</v>
      </c>
    </row>
    <row r="52">
      <c r="A52" t="inlineStr">
        <is>
          <t>9.8</t>
        </is>
      </c>
      <c r="B52" t="inlineStr">
        <is>
          <t>-</t>
        </is>
      </c>
      <c r="C52" t="inlineStr">
        <is>
          <t>ABRAÇADEIRAS DE NYLON, FITA ISOLANTE E FIXADORES (KIT)</t>
        </is>
      </c>
      <c r="D52" t="inlineStr">
        <is>
          <t>vb</t>
        </is>
      </c>
      <c r="E52" t="inlineStr">
        <is>
          <t>Mercado Livre (Kit Instalacao)</t>
        </is>
      </c>
      <c r="F52" s="100" t="n">
        <v>42</v>
      </c>
      <c r="G52" t="inlineStr">
        <is>
          <t>Leroy Merlin BH</t>
        </is>
      </c>
      <c r="H52" s="100" t="n">
        <v>46.5</v>
      </c>
      <c r="I52" t="inlineStr">
        <is>
          <t>Santil Materiais Eletricos</t>
        </is>
      </c>
      <c r="J52" s="100" t="n">
        <v>48</v>
      </c>
      <c r="K52" s="100" t="n">
        <v>45.5</v>
      </c>
      <c r="L52" s="92" t="n">
        <v>45</v>
      </c>
    </row>
    <row r="53">
      <c r="A53" t="inlineStr">
        <is>
          <t>9.9</t>
        </is>
      </c>
      <c r="B53" t="inlineStr">
        <is>
          <t>-</t>
        </is>
      </c>
      <c r="C53" t="inlineStr">
        <is>
          <t>ETIQUETAS DE IDENTIFICAÇÃO DE CABOS E DISPOSITIVOS CONFORME TAGS DO UNIFILAR</t>
        </is>
      </c>
      <c r="D53" t="inlineStr">
        <is>
          <t>conj</t>
        </is>
      </c>
      <c r="E53" t="inlineStr">
        <is>
          <t>Mercado Livre (Kit Anilhas Tags)</t>
        </is>
      </c>
      <c r="F53" s="100" t="n">
        <v>32</v>
      </c>
      <c r="G53" t="inlineStr">
        <is>
          <t>Santil Materiais Eletricos</t>
        </is>
      </c>
      <c r="H53" s="100" t="n">
        <v>36</v>
      </c>
      <c r="I53" t="inlineStr">
        <is>
          <t>Leroy Merlin BH</t>
        </is>
      </c>
      <c r="J53" s="100" t="n">
        <v>38.5</v>
      </c>
      <c r="K53" s="100" t="n">
        <v>35.5</v>
      </c>
      <c r="L53" s="92" t="n">
        <v>35</v>
      </c>
    </row>
    <row r="54">
      <c r="A54" t="inlineStr">
        <is>
          <t>10.1</t>
        </is>
      </c>
      <c r="B54" t="inlineStr">
        <is>
          <t>C1</t>
        </is>
      </c>
      <c r="C54" t="inlineStr">
        <is>
          <t>LUMINÁRIA LED INTERNA, 10 W</t>
        </is>
      </c>
      <c r="D54" t="inlineStr">
        <is>
          <t>un</t>
        </is>
      </c>
      <c r="E54" t="inlineStr">
        <is>
          <t>Leroy Merlin BH</t>
        </is>
      </c>
      <c r="F54" s="100" t="n">
        <v>23.9</v>
      </c>
      <c r="G54" t="inlineStr">
        <is>
          <t>Mercado Livre (Plafon LED 10W)</t>
        </is>
      </c>
      <c r="H54" s="100" t="n">
        <v>25</v>
      </c>
      <c r="I54" t="inlineStr">
        <is>
          <t>Santil Materiais Eletricos</t>
        </is>
      </c>
      <c r="J54" s="100" t="n">
        <v>27.5</v>
      </c>
      <c r="K54" s="100" t="n">
        <v>25.46666666666667</v>
      </c>
      <c r="L54" s="92" t="n">
        <v>25</v>
      </c>
    </row>
    <row r="55">
      <c r="A55" t="inlineStr">
        <is>
          <t>10.2</t>
        </is>
      </c>
      <c r="B55" t="inlineStr">
        <is>
          <t>C2</t>
        </is>
      </c>
      <c r="C55" t="inlineStr">
        <is>
          <t>LUMINÁRIA LED EXTERNA, 15 W</t>
        </is>
      </c>
      <c r="D55" t="inlineStr">
        <is>
          <t>un</t>
        </is>
      </c>
      <c r="E55" t="inlineStr">
        <is>
          <t>Leroy Merlin BH</t>
        </is>
      </c>
      <c r="F55" s="100" t="n">
        <v>33.5</v>
      </c>
      <c r="G55" t="inlineStr">
        <is>
          <t>Mercado Livre (Refletor LED 15W)</t>
        </is>
      </c>
      <c r="H55" s="100" t="n">
        <v>35</v>
      </c>
      <c r="I55" t="inlineStr">
        <is>
          <t>Santil Materiais Eletricos</t>
        </is>
      </c>
      <c r="J55" s="100" t="n">
        <v>38</v>
      </c>
      <c r="K55" s="100" t="n">
        <v>35.5</v>
      </c>
      <c r="L55" s="92" t="n">
        <v>35</v>
      </c>
    </row>
    <row r="56">
      <c r="A56" t="inlineStr">
        <is>
          <t>10.3</t>
        </is>
      </c>
      <c r="B56" t="inlineStr">
        <is>
          <t>C3</t>
        </is>
      </c>
      <c r="C56" t="inlineStr">
        <is>
          <t>NOTEBOOK, 65 W (EQUIPAMENTO DO USUÁRIO)</t>
        </is>
      </c>
      <c r="D56" t="inlineStr">
        <is>
          <t>un</t>
        </is>
      </c>
      <c r="E56" t="inlineStr">
        <is>
          <t>Mercado Livre (Notebook i5)</t>
        </is>
      </c>
      <c r="F56" s="100" t="n">
        <v>3150</v>
      </c>
      <c r="G56" t="inlineStr">
        <is>
          <t>Kabum / Magalu</t>
        </is>
      </c>
      <c r="H56" s="100" t="n">
        <v>3250</v>
      </c>
      <c r="I56" t="inlineStr">
        <is>
          <t>Amazon Brasil</t>
        </is>
      </c>
      <c r="J56" s="100" t="n">
        <v>3299</v>
      </c>
      <c r="K56" s="100" t="n">
        <v>3233</v>
      </c>
      <c r="L56" s="92" t="n">
        <v>3200</v>
      </c>
    </row>
    <row r="57">
      <c r="A57" t="inlineStr">
        <is>
          <t>10.4</t>
        </is>
      </c>
      <c r="B57" t="inlineStr">
        <is>
          <t>C4</t>
        </is>
      </c>
      <c r="C57" t="inlineStr">
        <is>
          <t>FRIGOBAR PEQUENO, 100 W</t>
        </is>
      </c>
      <c r="D57" t="inlineStr">
        <is>
          <t>un</t>
        </is>
      </c>
      <c r="E57" t="inlineStr">
        <is>
          <t>Mercado Livre (Frigobar 127V)</t>
        </is>
      </c>
      <c r="F57" s="100" t="n">
        <v>839</v>
      </c>
      <c r="G57" t="inlineStr">
        <is>
          <t>Magazine Luiza BH</t>
        </is>
      </c>
      <c r="H57" s="100" t="n">
        <v>860</v>
      </c>
      <c r="I57" t="inlineStr">
        <is>
          <t>Casas Bahia</t>
        </is>
      </c>
      <c r="J57" s="100" t="n">
        <v>889</v>
      </c>
      <c r="K57" s="100" t="n">
        <v>862.6666666666666</v>
      </c>
      <c r="L57" s="92" t="n">
        <v>850</v>
      </c>
    </row>
    <row r="58">
      <c r="A58" t="inlineStr">
        <is>
          <t>10.5</t>
        </is>
      </c>
      <c r="B58" t="inlineStr">
        <is>
          <t>C5</t>
        </is>
      </c>
      <c r="C58" t="inlineStr">
        <is>
          <t>GRAVADOR NVR/DVR, 25 W</t>
        </is>
      </c>
      <c r="D58" t="inlineStr">
        <is>
          <t>un</t>
        </is>
      </c>
      <c r="E58" t="inlineStr">
        <is>
          <t>Mercado Livre (DVR Intelbras)</t>
        </is>
      </c>
      <c r="F58" s="100" t="n">
        <v>435</v>
      </c>
      <c r="G58" t="inlineStr">
        <is>
          <t>Kabum Oficial</t>
        </is>
      </c>
      <c r="H58" s="100" t="n">
        <v>455</v>
      </c>
      <c r="I58" t="inlineStr">
        <is>
          <t>Amazon Brasil</t>
        </is>
      </c>
      <c r="J58" s="100" t="n">
        <v>469</v>
      </c>
      <c r="K58" s="100" t="n">
        <v>453</v>
      </c>
      <c r="L58" s="92" t="n">
        <v>450</v>
      </c>
    </row>
    <row r="59">
      <c r="A59" t="inlineStr">
        <is>
          <t>10.6</t>
        </is>
      </c>
      <c r="B59" t="inlineStr">
        <is>
          <t>C5</t>
        </is>
      </c>
      <c r="C59" t="inlineStr">
        <is>
          <t>ROTEADOR / SISTEMA WI-FI, 20 W</t>
        </is>
      </c>
      <c r="D59" t="inlineStr">
        <is>
          <t>un</t>
        </is>
      </c>
      <c r="E59" t="inlineStr">
        <is>
          <t>Mercado Livre (Roteador Gigabit)</t>
        </is>
      </c>
      <c r="F59" s="100" t="n">
        <v>175</v>
      </c>
      <c r="G59" t="inlineStr">
        <is>
          <t>Kabum Oficial</t>
        </is>
      </c>
      <c r="H59" s="100" t="n">
        <v>185</v>
      </c>
      <c r="I59" t="inlineStr">
        <is>
          <t>Amazon Brasil</t>
        </is>
      </c>
      <c r="J59" s="100" t="n">
        <v>189</v>
      </c>
      <c r="K59" s="100" t="n">
        <v>183</v>
      </c>
      <c r="L59" s="92" t="n">
        <v>180</v>
      </c>
    </row>
    <row r="60">
      <c r="A60" t="inlineStr">
        <is>
          <t>10.7</t>
        </is>
      </c>
      <c r="B60" t="inlineStr">
        <is>
          <t>C6</t>
        </is>
      </c>
      <c r="C60" t="inlineStr">
        <is>
          <t>CÂMERA DE CFTV PoE, 8 W</t>
        </is>
      </c>
      <c r="D60" t="inlineStr">
        <is>
          <t>un</t>
        </is>
      </c>
      <c r="E60" t="inlineStr">
        <is>
          <t>Mercado Livre (Camera VIP 1230)</t>
        </is>
      </c>
      <c r="F60" s="100" t="n">
        <v>225</v>
      </c>
      <c r="G60" t="inlineStr">
        <is>
          <t>Kabum Oficial</t>
        </is>
      </c>
      <c r="H60" s="100" t="n">
        <v>235</v>
      </c>
      <c r="I60" t="inlineStr">
        <is>
          <t>Amazon Brasil</t>
        </is>
      </c>
      <c r="J60" s="100" t="n">
        <v>240</v>
      </c>
      <c r="K60" s="100" t="n">
        <v>233.3333333333333</v>
      </c>
      <c r="L60" s="92" t="n">
        <v>230</v>
      </c>
    </row>
    <row r="61">
      <c r="A61" t="inlineStr">
        <is>
          <t>10.8</t>
        </is>
      </c>
      <c r="B61" t="inlineStr">
        <is>
          <t>C6</t>
        </is>
      </c>
      <c r="C61" t="inlineStr">
        <is>
          <t>SWITCH PoE, ORÇAMENTO PoE &gt;= 48 W</t>
        </is>
      </c>
      <c r="D61" t="inlineStr">
        <is>
          <t>un</t>
        </is>
      </c>
      <c r="E61" t="inlineStr">
        <is>
          <t>Mercado Livre (Switch SF 900)</t>
        </is>
      </c>
      <c r="F61" s="100" t="n">
        <v>375</v>
      </c>
      <c r="G61" t="inlineStr">
        <is>
          <t>Kabum Oficial</t>
        </is>
      </c>
      <c r="H61" s="100" t="n">
        <v>389</v>
      </c>
      <c r="I61" t="inlineStr">
        <is>
          <t>Amazon Brasil</t>
        </is>
      </c>
      <c r="J61" s="100" t="n">
        <v>399</v>
      </c>
      <c r="K61" s="100" t="n">
        <v>387.6666666666667</v>
      </c>
      <c r="L61" s="92" t="n">
        <v>380</v>
      </c>
    </row>
  </sheetData>
  <mergeCells count="1">
    <mergeCell ref="A1: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2026-10-24T04:42:29Z</dcterms:created>
  <dcterms:modified xmlns:dcterms="http://purl.org/dc/terms/" xmlns:xsi="http://www.w3.org/2001/XMLSchema-instance" xsi:type="dcterms:W3CDTF">2026-10-26T23:32:29Z</dcterms:modified>
  <cp:revision>0</cp:revision>
</cp:coreProperties>
</file>